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7c1a5db74db2632/Рабочий стол/финальный проект/"/>
    </mc:Choice>
  </mc:AlternateContent>
  <xr:revisionPtr revIDLastSave="104" documentId="11_CD56E94D20DF699C39DBCF97CC7B8667421CD02E" xr6:coauthVersionLast="47" xr6:coauthVersionMax="47" xr10:uidLastSave="{DC2037FB-F835-4053-88C0-ED5A8B25F02C}"/>
  <bookViews>
    <workbookView xWindow="-108" yWindow="-108" windowWidth="23256" windowHeight="12456" activeTab="1" xr2:uid="{00000000-000D-0000-FFFF-FFFF00000000}"/>
  </bookViews>
  <sheets>
    <sheet name="Сводная" sheetId="4" r:id="rId1"/>
    <sheet name="Сводная график" sheetId="6" r:id="rId2"/>
    <sheet name="Лист1" sheetId="1" r:id="rId3"/>
    <sheet name="Лист2" sheetId="2" r:id="rId4"/>
  </sheets>
  <definedNames>
    <definedName name="_xlnm._FilterDatabase" localSheetId="2" hidden="1">Лист1!$A$1:$X$505</definedName>
    <definedName name="_xlnm._FilterDatabase" localSheetId="3" hidden="1">Лист2!$A$1:$E$505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</calcChain>
</file>

<file path=xl/sharedStrings.xml><?xml version="1.0" encoding="utf-8"?>
<sst xmlns="http://schemas.openxmlformats.org/spreadsheetml/2006/main" count="1093" uniqueCount="34">
  <si>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</si>
  <si>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</si>
  <si>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</si>
  <si>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</si>
  <si>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</si>
  <si>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</si>
  <si>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</si>
  <si>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</si>
  <si>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</si>
  <si>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</si>
  <si>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</si>
  <si>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</si>
  <si>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</si>
  <si>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</si>
  <si>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</si>
  <si>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</si>
  <si>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</si>
  <si>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</si>
  <si>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</si>
  <si>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</si>
  <si>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</si>
  <si>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</si>
  <si>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</si>
  <si>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</si>
  <si>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</si>
  <si>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</si>
  <si>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</si>
  <si>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</si>
  <si>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</si>
  <si>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</si>
  <si>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Недели</t>
  </si>
  <si>
    <t>ТОП-3 территорий  по доле в общем товарообороте</t>
  </si>
  <si>
    <t>Сумма по полю Товарооборот на склад</t>
  </si>
  <si>
    <t>Топ-3 территорий по товарообороту на склад за последнюю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</si>
</sst>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0" fontId="0" fillId="0" borderId="0" xfId="0" applyNumberFormat="1"/>
    <xf numFmtId="0" fontId="0" fillId="4" borderId="0" xfId="0" applyFill="1" applyAlignment="1">
      <alignment horizontal="left"/>
    </xf>
    <xf numFmtId="10" fontId="0" fillId="4" borderId="0" xfId="0" applyNumberFormat="1" applyFill="1"/>
    <xf numFmtId="0" fontId="0" fillId="0" borderId="0" xfId="0" pivotButton="1" applyAlignment="1">
      <alignment vertical="center" wrapText="1"/>
    </xf>
    <xf numFmtId="0" fontId="0" fillId="0" borderId="0" xfId="0" applyAlignment="1">
      <alignment vertical="center"/>
    </xf>
    <xf numFmtId="4" fontId="0" fillId="4" borderId="0" xfId="0" applyNumberFormat="1" applyFill="1"/>
  </cellXfs>
  <cellStyles count="1">
    <cellStyle name="Обычный" xfId="0" builtinId="0"/>
  </cellStyles>
  <dxfs count="7">
    <dxf>
      <alignment vertical="center"/>
    </dxf>
    <dxf>
      <alignment wrapText="1"/>
    </dxf>
    <dxf>
      <fill>
        <patternFill patternType="solid">
          <bgColor theme="5" tint="0.59999389629810485"/>
        </patternFill>
      </fill>
    </dxf>
    <dxf>
      <alignment vertical="center"/>
    </dxf>
    <dxf>
      <alignment vertical="center"/>
    </dxf>
    <dxf>
      <alignment wrapText="1"/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.xlsx]Сводная график!Сводная таблица4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Понедельная динамика товарооборота и эффективности складов</a:t>
            </a:r>
            <a:endParaRPr lang="ru-RU"/>
          </a:p>
        </c:rich>
      </c:tx>
      <c:layout>
        <c:manualLayout>
          <c:xMode val="edge"/>
          <c:yMode val="edge"/>
          <c:x val="0.1248088255023168"/>
          <c:y val="2.52798844348140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'Сводная график'!$B$3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график'!$A$4:$A$10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график'!$B$4:$B$10</c:f>
              <c:numCache>
                <c:formatCode>#,##0.00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A-417F-A948-D7F128A66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5767664"/>
        <c:axId val="1236600240"/>
      </c:barChart>
      <c:lineChart>
        <c:grouping val="standard"/>
        <c:varyColors val="0"/>
        <c:ser>
          <c:idx val="1"/>
          <c:order val="1"/>
          <c:tx>
            <c:strRef>
              <c:f>'Сводная график'!$C$3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'Сводная график'!$A$4:$A$10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'Сводная график'!$C$4:$C$10</c:f>
              <c:numCache>
                <c:formatCode>#,##0.00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DA-417F-A948-D7F128A66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09184"/>
        <c:axId val="1236606960"/>
      </c:lineChart>
      <c:catAx>
        <c:axId val="8576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6600240"/>
        <c:crosses val="autoZero"/>
        <c:auto val="1"/>
        <c:lblAlgn val="ctr"/>
        <c:lblOffset val="100"/>
        <c:noMultiLvlLbl val="0"/>
      </c:catAx>
      <c:valAx>
        <c:axId val="123660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67664"/>
        <c:crosses val="autoZero"/>
        <c:crossBetween val="between"/>
      </c:valAx>
      <c:valAx>
        <c:axId val="1236606960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409184"/>
        <c:crosses val="max"/>
        <c:crossBetween val="between"/>
      </c:valAx>
      <c:catAx>
        <c:axId val="95409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66069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11</xdr:row>
      <xdr:rowOff>80010</xdr:rowOff>
    </xdr:from>
    <xdr:to>
      <xdr:col>3</xdr:col>
      <xdr:colOff>266700</xdr:colOff>
      <xdr:row>30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997A5EB-F0EE-32DC-4AF2-0253A1D99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55.701344791669" createdVersion="8" refreshedVersion="8" minRefreshableVersion="3" recordCount="504" xr:uid="{76B776D0-3D78-45A5-8A3A-A931AE4AC3A0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EB9CB-C48B-4E0F-8D93-E41097F29148}" name="Сводная таблица3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оп-3 территорий по товарообороту на склад за последнюю неделю" colHeaderCaption="Недели">
  <location ref="A50:C70" firstHeaderRow="1" firstDataRow="2" firstDataCol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5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Col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Fields count="1">
    <field x="8"/>
  </colFields>
  <colItems count="2">
    <i>
      <x v="5"/>
    </i>
    <i t="grand">
      <x/>
    </i>
  </colItems>
  <dataFields count="1">
    <dataField name="Сумма по полю Товарооборот на склад" fld="7" baseField="1" baseItem="3" numFmtId="4"/>
  </dataFields>
  <formats count="3">
    <format dxfId="2">
      <pivotArea dataOnly="0" fieldPosition="0">
        <references count="1">
          <reference field="1" count="3">
            <x v="5"/>
            <x v="6"/>
            <x v="12"/>
          </reference>
        </references>
      </pivotArea>
    </format>
    <format dxfId="1">
      <pivotArea field="1" type="button" dataOnly="0" labelOnly="1" outline="0" axis="axisRow" fieldPosition="0"/>
    </format>
    <format dxfId="0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1A616-2ABC-489C-A685-0BFB0BAC31C2}" name="Сводная таблица2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ОП-3 территорий  по доле в общем товарообороте" colHeaderCaption="Недели">
  <location ref="A26:B45" firstHeaderRow="1" firstDataRow="1" firstDataCol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Сумма по полю Товарооборот, руб" fld="3" showDataAs="percentOfTotal" baseField="0" baseItem="0" numFmtId="10"/>
  </dataFields>
  <formats count="4">
    <format dxfId="6">
      <pivotArea dataOnly="0" fieldPosition="0">
        <references count="1">
          <reference field="1" count="3">
            <x v="6"/>
            <x v="12"/>
            <x v="13"/>
          </reference>
        </references>
      </pivotArea>
    </format>
    <format dxfId="5">
      <pivotArea field="1" type="button" dataOnly="0" labelOnly="1" outline="0" axis="axisRow" fieldPosition="0"/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2F62C-D943-4C50-AD49-CEE555CC8CB7}" name="Сводная таблица1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" colHeaderCaption="Недели">
  <location ref="A3:H23" firstHeaderRow="1" firstDataRow="2" firstDataCol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, руб" fld="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FFE48-74C1-4B48-9228-CD2BCBA1964C}" name="Сводная таблица4" cacheId="1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A3:C10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 numFmtId="4"/>
    <dataField name="Сумма по полю Товарооборот на склад" fld="7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A915-3C4E-481F-906D-B589E7261785}">
  <dimension ref="A3:H70"/>
  <sheetViews>
    <sheetView workbookViewId="0">
      <selection activeCell="A3" sqref="A3"/>
    </sheetView>
  </sheetViews>
  <sheetFormatPr defaultRowHeight="14.4" x14ac:dyDescent="0.3"/>
  <cols>
    <col min="1" max="1" width="36.6640625" bestFit="1" customWidth="1"/>
    <col min="2" max="2" width="32.77734375" bestFit="1" customWidth="1"/>
    <col min="3" max="4" width="13.5546875" bestFit="1" customWidth="1"/>
    <col min="5" max="6" width="15" bestFit="1" customWidth="1"/>
    <col min="7" max="7" width="13.5546875" bestFit="1" customWidth="1"/>
    <col min="8" max="8" width="15" bestFit="1" customWidth="1"/>
  </cols>
  <sheetData>
    <row r="3" spans="1:8" x14ac:dyDescent="0.3">
      <c r="A3" s="13" t="s">
        <v>29</v>
      </c>
      <c r="B3" s="13" t="s">
        <v>30</v>
      </c>
    </row>
    <row r="4" spans="1:8" x14ac:dyDescent="0.3">
      <c r="A4" s="13" t="s">
        <v>1</v>
      </c>
      <c r="B4">
        <v>18</v>
      </c>
      <c r="C4">
        <v>19</v>
      </c>
      <c r="D4">
        <v>20</v>
      </c>
      <c r="E4">
        <v>21</v>
      </c>
      <c r="F4">
        <v>22</v>
      </c>
      <c r="G4">
        <v>23</v>
      </c>
      <c r="H4" t="s">
        <v>28</v>
      </c>
    </row>
    <row r="5" spans="1:8" x14ac:dyDescent="0.3">
      <c r="A5" s="14" t="s">
        <v>16</v>
      </c>
      <c r="B5" s="15">
        <v>36934095</v>
      </c>
      <c r="C5" s="15">
        <v>43307155.5</v>
      </c>
      <c r="D5" s="15">
        <v>41300679</v>
      </c>
      <c r="E5" s="15">
        <v>44172813</v>
      </c>
      <c r="F5" s="15">
        <v>46485094.5</v>
      </c>
      <c r="G5" s="15">
        <v>5800290</v>
      </c>
      <c r="H5" s="15">
        <v>218000127</v>
      </c>
    </row>
    <row r="6" spans="1:8" x14ac:dyDescent="0.3">
      <c r="A6" s="14" t="s">
        <v>11</v>
      </c>
      <c r="B6" s="15">
        <v>42828757.5</v>
      </c>
      <c r="C6" s="15">
        <v>46366009.5</v>
      </c>
      <c r="D6" s="15">
        <v>47079841.5</v>
      </c>
      <c r="E6" s="15">
        <v>49575288</v>
      </c>
      <c r="F6" s="15">
        <v>50729185.5</v>
      </c>
      <c r="G6" s="15">
        <v>6829921.5</v>
      </c>
      <c r="H6" s="15">
        <v>243409003.5</v>
      </c>
    </row>
    <row r="7" spans="1:8" x14ac:dyDescent="0.3">
      <c r="A7" s="14" t="s">
        <v>17</v>
      </c>
      <c r="B7" s="15">
        <v>17828215.5</v>
      </c>
      <c r="C7" s="15">
        <v>20974521</v>
      </c>
      <c r="D7" s="15">
        <v>23603355</v>
      </c>
      <c r="E7" s="15">
        <v>26815804.5</v>
      </c>
      <c r="F7" s="15">
        <v>27495690</v>
      </c>
      <c r="G7" s="15">
        <v>3865251</v>
      </c>
      <c r="H7" s="15">
        <v>120582837</v>
      </c>
    </row>
    <row r="8" spans="1:8" x14ac:dyDescent="0.3">
      <c r="A8" s="14" t="s">
        <v>10</v>
      </c>
      <c r="B8" s="15">
        <v>16029679.5</v>
      </c>
      <c r="C8" s="15">
        <v>19479055.5</v>
      </c>
      <c r="D8" s="15">
        <v>19724733</v>
      </c>
      <c r="E8" s="15">
        <v>20915751</v>
      </c>
      <c r="F8" s="15">
        <v>22579281</v>
      </c>
      <c r="G8" s="15">
        <v>2945035.5</v>
      </c>
      <c r="H8" s="15">
        <v>101673535.5</v>
      </c>
    </row>
    <row r="9" spans="1:8" x14ac:dyDescent="0.3">
      <c r="A9" s="14" t="s">
        <v>20</v>
      </c>
      <c r="B9" s="15">
        <v>13955985</v>
      </c>
      <c r="C9" s="15">
        <v>16391856</v>
      </c>
      <c r="D9" s="15">
        <v>16732521</v>
      </c>
      <c r="E9" s="15">
        <v>17647479</v>
      </c>
      <c r="F9" s="15">
        <v>18595773</v>
      </c>
      <c r="G9" s="15">
        <v>2538967.5</v>
      </c>
      <c r="H9" s="15">
        <v>85862581.5</v>
      </c>
    </row>
    <row r="10" spans="1:8" x14ac:dyDescent="0.3">
      <c r="A10" s="14" t="s">
        <v>22</v>
      </c>
      <c r="B10" s="15">
        <v>130713645</v>
      </c>
      <c r="C10" s="15">
        <v>151642039.5</v>
      </c>
      <c r="D10" s="15">
        <v>135813990</v>
      </c>
      <c r="E10" s="15">
        <v>149589546</v>
      </c>
      <c r="F10" s="15">
        <v>151451013</v>
      </c>
      <c r="G10" s="15">
        <v>18914194.5</v>
      </c>
      <c r="H10" s="15">
        <v>738124428</v>
      </c>
    </row>
    <row r="11" spans="1:8" x14ac:dyDescent="0.3">
      <c r="A11" s="14" t="s">
        <v>21</v>
      </c>
      <c r="B11" s="15">
        <v>136791225</v>
      </c>
      <c r="C11" s="15">
        <v>159695760</v>
      </c>
      <c r="D11" s="15">
        <v>142825023</v>
      </c>
      <c r="E11" s="15">
        <v>157512358.5</v>
      </c>
      <c r="F11" s="15">
        <v>157857214.5</v>
      </c>
      <c r="G11" s="15">
        <v>19465372.5</v>
      </c>
      <c r="H11" s="15">
        <v>774146953.5</v>
      </c>
    </row>
    <row r="12" spans="1:8" x14ac:dyDescent="0.3">
      <c r="A12" s="14" t="s">
        <v>13</v>
      </c>
      <c r="B12" s="15">
        <v>13145965.5</v>
      </c>
      <c r="C12" s="15">
        <v>17149980</v>
      </c>
      <c r="D12" s="15">
        <v>19963153.5</v>
      </c>
      <c r="E12" s="15">
        <v>20713983</v>
      </c>
      <c r="F12" s="15">
        <v>21605704.5</v>
      </c>
      <c r="G12" s="15">
        <v>3013512</v>
      </c>
      <c r="H12" s="15">
        <v>95592298.5</v>
      </c>
    </row>
    <row r="13" spans="1:8" x14ac:dyDescent="0.3">
      <c r="A13" s="14" t="s">
        <v>23</v>
      </c>
      <c r="B13" s="15">
        <v>5746024.5</v>
      </c>
      <c r="C13" s="15">
        <v>7253572.5</v>
      </c>
      <c r="D13" s="15">
        <v>7841920.5</v>
      </c>
      <c r="E13" s="15">
        <v>8990269.5</v>
      </c>
      <c r="F13" s="15">
        <v>9909624</v>
      </c>
      <c r="G13" s="15">
        <v>1293219</v>
      </c>
      <c r="H13" s="15">
        <v>41034630</v>
      </c>
    </row>
    <row r="14" spans="1:8" x14ac:dyDescent="0.3">
      <c r="A14" s="14" t="s">
        <v>18</v>
      </c>
      <c r="B14" s="15">
        <v>6961020</v>
      </c>
      <c r="C14" s="15">
        <v>8778597</v>
      </c>
      <c r="D14" s="15">
        <v>9036316.5</v>
      </c>
      <c r="E14" s="15">
        <v>10598445</v>
      </c>
      <c r="F14" s="15">
        <v>11902053</v>
      </c>
      <c r="G14" s="15">
        <v>1526608.5</v>
      </c>
      <c r="H14" s="15">
        <v>48803040</v>
      </c>
    </row>
    <row r="15" spans="1:8" x14ac:dyDescent="0.3">
      <c r="A15" s="14" t="s">
        <v>19</v>
      </c>
      <c r="B15" s="15">
        <v>2008809</v>
      </c>
      <c r="C15" s="15">
        <v>5892277.5</v>
      </c>
      <c r="D15" s="15">
        <v>7382458.5</v>
      </c>
      <c r="E15" s="15">
        <v>8638525.5</v>
      </c>
      <c r="F15" s="15">
        <v>9328845</v>
      </c>
      <c r="G15" s="15">
        <v>1565632.5</v>
      </c>
      <c r="H15" s="15">
        <v>34816548</v>
      </c>
    </row>
    <row r="16" spans="1:8" x14ac:dyDescent="0.3">
      <c r="A16" s="14" t="s">
        <v>9</v>
      </c>
      <c r="B16" s="15"/>
      <c r="C16" s="15"/>
      <c r="D16" s="15"/>
      <c r="E16" s="15"/>
      <c r="F16" s="15">
        <v>2706253.5</v>
      </c>
      <c r="G16" s="15">
        <v>636345</v>
      </c>
      <c r="H16" s="15">
        <v>3342598.5</v>
      </c>
    </row>
    <row r="17" spans="1:8" x14ac:dyDescent="0.3">
      <c r="A17" s="14" t="s">
        <v>15</v>
      </c>
      <c r="B17" s="15">
        <v>233059077</v>
      </c>
      <c r="C17" s="15">
        <v>272762503.5</v>
      </c>
      <c r="D17" s="15">
        <v>269949999</v>
      </c>
      <c r="E17" s="15">
        <v>275539431.56999999</v>
      </c>
      <c r="F17" s="15">
        <v>292155049.5</v>
      </c>
      <c r="G17" s="15">
        <v>37257840.18135</v>
      </c>
      <c r="H17" s="15">
        <v>1380723900.7513499</v>
      </c>
    </row>
    <row r="18" spans="1:8" x14ac:dyDescent="0.3">
      <c r="A18" s="14" t="s">
        <v>14</v>
      </c>
      <c r="B18" s="15">
        <v>176269533</v>
      </c>
      <c r="C18" s="15">
        <v>208128393.85664999</v>
      </c>
      <c r="D18" s="15">
        <v>199569624.22395</v>
      </c>
      <c r="E18" s="15">
        <v>204608809.47659999</v>
      </c>
      <c r="F18" s="15">
        <v>219265928.75384998</v>
      </c>
      <c r="G18" s="15">
        <v>27770092.5</v>
      </c>
      <c r="H18" s="15">
        <v>1035612381.8110499</v>
      </c>
    </row>
    <row r="19" spans="1:8" x14ac:dyDescent="0.3">
      <c r="A19" s="14" t="s">
        <v>12</v>
      </c>
      <c r="B19" s="15">
        <v>4531000.5</v>
      </c>
      <c r="C19" s="15">
        <v>6093688.5</v>
      </c>
      <c r="D19" s="15">
        <v>6439392</v>
      </c>
      <c r="E19" s="15">
        <v>7373379</v>
      </c>
      <c r="F19" s="15">
        <v>7762362</v>
      </c>
      <c r="G19" s="15">
        <v>1007742</v>
      </c>
      <c r="H19" s="15">
        <v>33207564</v>
      </c>
    </row>
    <row r="20" spans="1:8" x14ac:dyDescent="0.3">
      <c r="A20" s="14" t="s">
        <v>25</v>
      </c>
      <c r="B20" s="15"/>
      <c r="C20" s="15"/>
      <c r="D20" s="15"/>
      <c r="E20" s="15"/>
      <c r="F20" s="15">
        <v>493893</v>
      </c>
      <c r="G20" s="15">
        <v>389013</v>
      </c>
      <c r="H20" s="15">
        <v>882906</v>
      </c>
    </row>
    <row r="21" spans="1:8" x14ac:dyDescent="0.3">
      <c r="A21" s="14" t="s">
        <v>24</v>
      </c>
      <c r="B21" s="15"/>
      <c r="C21" s="15"/>
      <c r="D21" s="15"/>
      <c r="E21" s="15"/>
      <c r="F21" s="15">
        <v>4861708.5</v>
      </c>
      <c r="G21" s="15">
        <v>802447.5</v>
      </c>
      <c r="H21" s="15">
        <v>5664156</v>
      </c>
    </row>
    <row r="22" spans="1:8" x14ac:dyDescent="0.3">
      <c r="A22" s="14" t="s">
        <v>26</v>
      </c>
      <c r="B22" s="15"/>
      <c r="C22" s="15"/>
      <c r="D22" s="15"/>
      <c r="E22" s="15"/>
      <c r="F22" s="15">
        <v>468835.5</v>
      </c>
      <c r="G22" s="15">
        <v>410892</v>
      </c>
      <c r="H22" s="15">
        <v>879727.5</v>
      </c>
    </row>
    <row r="23" spans="1:8" x14ac:dyDescent="0.3">
      <c r="A23" s="14" t="s">
        <v>28</v>
      </c>
      <c r="B23" s="15">
        <v>836803032</v>
      </c>
      <c r="C23" s="15">
        <v>983915409.85664999</v>
      </c>
      <c r="D23" s="15">
        <v>947263006.72395003</v>
      </c>
      <c r="E23" s="15">
        <v>1002691883.0465999</v>
      </c>
      <c r="F23" s="15">
        <v>1055653508.75385</v>
      </c>
      <c r="G23" s="15">
        <v>136032376.68134999</v>
      </c>
      <c r="H23" s="15">
        <v>4962359217.0623999</v>
      </c>
    </row>
    <row r="26" spans="1:8" ht="58.8" customHeight="1" x14ac:dyDescent="0.3">
      <c r="A26" s="19" t="s">
        <v>31</v>
      </c>
      <c r="B26" s="20" t="s">
        <v>29</v>
      </c>
    </row>
    <row r="27" spans="1:8" x14ac:dyDescent="0.3">
      <c r="A27" s="17" t="s">
        <v>15</v>
      </c>
      <c r="B27" s="18">
        <v>0.27823940999755076</v>
      </c>
    </row>
    <row r="28" spans="1:8" x14ac:dyDescent="0.3">
      <c r="A28" s="17" t="s">
        <v>14</v>
      </c>
      <c r="B28" s="18">
        <v>0.20869355411640439</v>
      </c>
    </row>
    <row r="29" spans="1:8" x14ac:dyDescent="0.3">
      <c r="A29" s="17" t="s">
        <v>21</v>
      </c>
      <c r="B29" s="18">
        <v>0.15600381182365852</v>
      </c>
    </row>
    <row r="30" spans="1:8" x14ac:dyDescent="0.3">
      <c r="A30" s="14" t="s">
        <v>22</v>
      </c>
      <c r="B30" s="16">
        <v>0.1487446586821162</v>
      </c>
    </row>
    <row r="31" spans="1:8" x14ac:dyDescent="0.3">
      <c r="A31" s="14" t="s">
        <v>11</v>
      </c>
      <c r="B31" s="16">
        <v>4.9051064796573195E-2</v>
      </c>
    </row>
    <row r="32" spans="1:8" x14ac:dyDescent="0.3">
      <c r="A32" s="14" t="s">
        <v>16</v>
      </c>
      <c r="B32" s="16">
        <v>4.3930742911644949E-2</v>
      </c>
    </row>
    <row r="33" spans="1:2" x14ac:dyDescent="0.3">
      <c r="A33" s="14" t="s">
        <v>17</v>
      </c>
      <c r="B33" s="16">
        <v>2.4299497824621857E-2</v>
      </c>
    </row>
    <row r="34" spans="1:2" x14ac:dyDescent="0.3">
      <c r="A34" s="14" t="s">
        <v>10</v>
      </c>
      <c r="B34" s="16">
        <v>2.0488951132439048E-2</v>
      </c>
    </row>
    <row r="35" spans="1:2" x14ac:dyDescent="0.3">
      <c r="A35" s="14" t="s">
        <v>13</v>
      </c>
      <c r="B35" s="16">
        <v>1.9263478180160522E-2</v>
      </c>
    </row>
    <row r="36" spans="1:2" x14ac:dyDescent="0.3">
      <c r="A36" s="14" t="s">
        <v>20</v>
      </c>
      <c r="B36" s="16">
        <v>1.7302774294285901E-2</v>
      </c>
    </row>
    <row r="37" spans="1:2" x14ac:dyDescent="0.3">
      <c r="A37" s="14" t="s">
        <v>18</v>
      </c>
      <c r="B37" s="16">
        <v>9.8346447456277158E-3</v>
      </c>
    </row>
    <row r="38" spans="1:2" x14ac:dyDescent="0.3">
      <c r="A38" s="14" t="s">
        <v>23</v>
      </c>
      <c r="B38" s="16">
        <v>8.2691776643069263E-3</v>
      </c>
    </row>
    <row r="39" spans="1:2" x14ac:dyDescent="0.3">
      <c r="A39" s="14" t="s">
        <v>19</v>
      </c>
      <c r="B39" s="16">
        <v>7.016128111058147E-3</v>
      </c>
    </row>
    <row r="40" spans="1:2" x14ac:dyDescent="0.3">
      <c r="A40" s="14" t="s">
        <v>12</v>
      </c>
      <c r="B40" s="16">
        <v>6.6918903987886027E-3</v>
      </c>
    </row>
    <row r="41" spans="1:2" x14ac:dyDescent="0.3">
      <c r="A41" s="14" t="s">
        <v>24</v>
      </c>
      <c r="B41" s="16">
        <v>1.1414240187458753E-3</v>
      </c>
    </row>
    <row r="42" spans="1:2" x14ac:dyDescent="0.3">
      <c r="A42" s="14" t="s">
        <v>9</v>
      </c>
      <c r="B42" s="16">
        <v>6.735905954786441E-4</v>
      </c>
    </row>
    <row r="43" spans="1:2" x14ac:dyDescent="0.3">
      <c r="A43" s="14" t="s">
        <v>25</v>
      </c>
      <c r="B43" s="16">
        <v>1.779206142441779E-4</v>
      </c>
    </row>
    <row r="44" spans="1:2" x14ac:dyDescent="0.3">
      <c r="A44" s="14" t="s">
        <v>26</v>
      </c>
      <c r="B44" s="16">
        <v>1.7728009229464408E-4</v>
      </c>
    </row>
    <row r="45" spans="1:2" x14ac:dyDescent="0.3">
      <c r="A45" s="14" t="s">
        <v>28</v>
      </c>
      <c r="B45" s="16">
        <v>1</v>
      </c>
    </row>
    <row r="50" spans="1:3" x14ac:dyDescent="0.3">
      <c r="A50" s="13" t="s">
        <v>32</v>
      </c>
      <c r="B50" s="13" t="s">
        <v>30</v>
      </c>
    </row>
    <row r="51" spans="1:3" ht="61.2" customHeight="1" x14ac:dyDescent="0.3">
      <c r="A51" s="19" t="s">
        <v>33</v>
      </c>
      <c r="B51">
        <v>23</v>
      </c>
      <c r="C51" t="s">
        <v>28</v>
      </c>
    </row>
    <row r="52" spans="1:3" x14ac:dyDescent="0.3">
      <c r="A52" s="17" t="s">
        <v>22</v>
      </c>
      <c r="B52" s="21">
        <v>350262.86111111112</v>
      </c>
      <c r="C52" s="21">
        <v>350262.86111111112</v>
      </c>
    </row>
    <row r="53" spans="1:3" x14ac:dyDescent="0.3">
      <c r="A53" s="17" t="s">
        <v>21</v>
      </c>
      <c r="B53" s="21">
        <v>329921.56779661018</v>
      </c>
      <c r="C53" s="21">
        <v>329921.56779661018</v>
      </c>
    </row>
    <row r="54" spans="1:3" x14ac:dyDescent="0.3">
      <c r="A54" s="17" t="s">
        <v>15</v>
      </c>
      <c r="B54" s="21">
        <v>302909.26976707316</v>
      </c>
      <c r="C54" s="21">
        <v>302909.26976707316</v>
      </c>
    </row>
    <row r="55" spans="1:3" x14ac:dyDescent="0.3">
      <c r="A55" s="14" t="s">
        <v>11</v>
      </c>
      <c r="B55" s="15">
        <v>220320.04838709679</v>
      </c>
      <c r="C55" s="15">
        <v>220320.04838709679</v>
      </c>
    </row>
    <row r="56" spans="1:3" x14ac:dyDescent="0.3">
      <c r="A56" s="14" t="s">
        <v>14</v>
      </c>
      <c r="B56" s="15">
        <v>216953.84765625</v>
      </c>
      <c r="C56" s="15">
        <v>216953.84765625</v>
      </c>
    </row>
    <row r="57" spans="1:3" x14ac:dyDescent="0.3">
      <c r="A57" s="14" t="s">
        <v>17</v>
      </c>
      <c r="B57" s="15">
        <v>168054.39130434784</v>
      </c>
      <c r="C57" s="15">
        <v>168054.39130434784</v>
      </c>
    </row>
    <row r="58" spans="1:3" x14ac:dyDescent="0.3">
      <c r="A58" s="14" t="s">
        <v>16</v>
      </c>
      <c r="B58" s="15">
        <v>156764.59459459459</v>
      </c>
      <c r="C58" s="15">
        <v>156764.59459459459</v>
      </c>
    </row>
    <row r="59" spans="1:3" x14ac:dyDescent="0.3">
      <c r="A59" s="14" t="s">
        <v>13</v>
      </c>
      <c r="B59" s="15">
        <v>150675.6</v>
      </c>
      <c r="C59" s="15">
        <v>150675.6</v>
      </c>
    </row>
    <row r="60" spans="1:3" x14ac:dyDescent="0.3">
      <c r="A60" s="14" t="s">
        <v>10</v>
      </c>
      <c r="B60" s="15">
        <v>140239.78571428571</v>
      </c>
      <c r="C60" s="15">
        <v>140239.78571428571</v>
      </c>
    </row>
    <row r="61" spans="1:3" x14ac:dyDescent="0.3">
      <c r="A61" s="14" t="s">
        <v>20</v>
      </c>
      <c r="B61" s="15">
        <v>120903.21428571429</v>
      </c>
      <c r="C61" s="15">
        <v>120903.21428571429</v>
      </c>
    </row>
    <row r="62" spans="1:3" x14ac:dyDescent="0.3">
      <c r="A62" s="14" t="s">
        <v>24</v>
      </c>
      <c r="B62" s="15">
        <v>114635.35714285714</v>
      </c>
      <c r="C62" s="15">
        <v>114635.35714285714</v>
      </c>
    </row>
    <row r="63" spans="1:3" x14ac:dyDescent="0.3">
      <c r="A63" s="14" t="s">
        <v>12</v>
      </c>
      <c r="B63" s="15">
        <v>100774.2</v>
      </c>
      <c r="C63" s="15">
        <v>100774.2</v>
      </c>
    </row>
    <row r="64" spans="1:3" x14ac:dyDescent="0.3">
      <c r="A64" s="14" t="s">
        <v>19</v>
      </c>
      <c r="B64" s="15">
        <v>97852.03125</v>
      </c>
      <c r="C64" s="15">
        <v>97852.03125</v>
      </c>
    </row>
    <row r="65" spans="1:3" x14ac:dyDescent="0.3">
      <c r="A65" s="14" t="s">
        <v>18</v>
      </c>
      <c r="B65" s="15">
        <v>89800.5</v>
      </c>
      <c r="C65" s="15">
        <v>89800.5</v>
      </c>
    </row>
    <row r="66" spans="1:3" x14ac:dyDescent="0.3">
      <c r="A66" s="14" t="s">
        <v>23</v>
      </c>
      <c r="B66" s="15">
        <v>71845.5</v>
      </c>
      <c r="C66" s="15">
        <v>71845.5</v>
      </c>
    </row>
    <row r="67" spans="1:3" x14ac:dyDescent="0.3">
      <c r="A67" s="14" t="s">
        <v>26</v>
      </c>
      <c r="B67" s="15">
        <v>68482</v>
      </c>
      <c r="C67" s="15">
        <v>68482</v>
      </c>
    </row>
    <row r="68" spans="1:3" x14ac:dyDescent="0.3">
      <c r="A68" s="14" t="s">
        <v>25</v>
      </c>
      <c r="B68" s="15">
        <v>43223.666666666664</v>
      </c>
      <c r="C68" s="15">
        <v>43223.666666666664</v>
      </c>
    </row>
    <row r="69" spans="1:3" x14ac:dyDescent="0.3">
      <c r="A69" s="14" t="s">
        <v>9</v>
      </c>
      <c r="B69" s="15">
        <v>42423</v>
      </c>
      <c r="C69" s="15">
        <v>42423</v>
      </c>
    </row>
    <row r="70" spans="1:3" x14ac:dyDescent="0.3">
      <c r="A70" s="14" t="s">
        <v>28</v>
      </c>
      <c r="B70" s="15">
        <v>2786041.4356766078</v>
      </c>
      <c r="C70" s="15">
        <v>2786041.4356766078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BC90-2466-4855-9D52-6BE515B778B3}">
  <dimension ref="A3:C10"/>
  <sheetViews>
    <sheetView tabSelected="1" topLeftCell="A4" workbookViewId="0">
      <selection activeCell="F13" sqref="F13"/>
    </sheetView>
  </sheetViews>
  <sheetFormatPr defaultRowHeight="14.4" x14ac:dyDescent="0.3"/>
  <cols>
    <col min="1" max="1" width="17" bestFit="1" customWidth="1"/>
    <col min="2" max="2" width="32.77734375" bestFit="1" customWidth="1"/>
    <col min="3" max="3" width="36.6640625" bestFit="1" customWidth="1"/>
  </cols>
  <sheetData>
    <row r="3" spans="1:3" x14ac:dyDescent="0.3">
      <c r="A3" s="13" t="s">
        <v>27</v>
      </c>
      <c r="B3" t="s">
        <v>29</v>
      </c>
      <c r="C3" t="s">
        <v>32</v>
      </c>
    </row>
    <row r="4" spans="1:3" x14ac:dyDescent="0.3">
      <c r="A4" s="14">
        <v>18</v>
      </c>
      <c r="B4" s="15">
        <v>836803032</v>
      </c>
      <c r="C4" s="15">
        <v>15050189.484421248</v>
      </c>
    </row>
    <row r="5" spans="1:3" x14ac:dyDescent="0.3">
      <c r="A5" s="14">
        <v>19</v>
      </c>
      <c r="B5" s="15">
        <v>983915409.85664999</v>
      </c>
      <c r="C5" s="15">
        <v>17810866.503784601</v>
      </c>
    </row>
    <row r="6" spans="1:3" x14ac:dyDescent="0.3">
      <c r="A6" s="14">
        <v>20</v>
      </c>
      <c r="B6" s="15">
        <v>947263006.72395003</v>
      </c>
      <c r="C6" s="15">
        <v>17504431.254499577</v>
      </c>
    </row>
    <row r="7" spans="1:3" x14ac:dyDescent="0.3">
      <c r="A7" s="14">
        <v>21</v>
      </c>
      <c r="B7" s="15">
        <v>1002691883.0466</v>
      </c>
      <c r="C7" s="15">
        <v>18752594.736982953</v>
      </c>
    </row>
    <row r="8" spans="1:3" x14ac:dyDescent="0.3">
      <c r="A8" s="14">
        <v>22</v>
      </c>
      <c r="B8" s="15">
        <v>1055653508.75385</v>
      </c>
      <c r="C8" s="15">
        <v>20458986.916362662</v>
      </c>
    </row>
    <row r="9" spans="1:3" x14ac:dyDescent="0.3">
      <c r="A9" s="14">
        <v>23</v>
      </c>
      <c r="B9" s="15">
        <v>136032376.68134999</v>
      </c>
      <c r="C9" s="15">
        <v>2786041.4356766073</v>
      </c>
    </row>
    <row r="10" spans="1:3" x14ac:dyDescent="0.3">
      <c r="A10" s="14" t="s">
        <v>28</v>
      </c>
      <c r="B10" s="15">
        <v>4962359217.0623999</v>
      </c>
      <c r="C10" s="15">
        <v>92363110.331727639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B5" sqref="A1:I505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>
        <f>SUMIFS(Лист2!C:C,Лист2!A:A,A2,Лист2!B:B,B2)</f>
        <v>15</v>
      </c>
      <c r="F2">
        <f>SUMIFS(Лист2!D:D,Лист2!A:A,A2,Лист2!B:B,B2)</f>
        <v>441</v>
      </c>
      <c r="G2">
        <f>SUMIFS(Лист2!E:E,Лист2!A:A,A2,Лист2!B:B,B2)</f>
        <v>368</v>
      </c>
      <c r="H2">
        <f>D2/E2</f>
        <v>41598.1</v>
      </c>
      <c r="I2">
        <f>WEEKNUM(A2,21)</f>
        <v>22</v>
      </c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>
        <f>SUMIFS(Лист2!C:C,Лист2!A:A,A3,Лист2!B:B,B3)</f>
        <v>15</v>
      </c>
      <c r="F3">
        <f>SUMIFS(Лист2!D:D,Лист2!A:A,A3,Лист2!B:B,B3)</f>
        <v>490</v>
      </c>
      <c r="G3">
        <f>SUMIFS(Лист2!E:E,Лист2!A:A,A3,Лист2!B:B,B3)</f>
        <v>409</v>
      </c>
      <c r="H3">
        <f t="shared" ref="H3:H66" si="0">D3/E3</f>
        <v>52473.4</v>
      </c>
      <c r="I3">
        <f t="shared" ref="I3:I66" si="1">WEEKNUM(A3,21)</f>
        <v>22</v>
      </c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>
        <f>SUMIFS(Лист2!C:C,Лист2!A:A,A4,Лист2!B:B,B4)</f>
        <v>15</v>
      </c>
      <c r="F4">
        <f>SUMIFS(Лист2!D:D,Лист2!A:A,A4,Лист2!B:B,B4)</f>
        <v>464</v>
      </c>
      <c r="G4">
        <f>SUMIFS(Лист2!E:E,Лист2!A:A,A4,Лист2!B:B,B4)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>
        <f>SUMIFS(Лист2!C:C,Лист2!A:A,A5,Лист2!B:B,B5)</f>
        <v>21</v>
      </c>
      <c r="F5">
        <f>SUMIFS(Лист2!D:D,Лист2!A:A,A5,Лист2!B:B,B5)</f>
        <v>2145</v>
      </c>
      <c r="G5">
        <f>SUMIFS(Лист2!E:E,Лист2!A:A,A5,Лист2!B:B,B5)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>
        <f>SUMIFS(Лист2!C:C,Лист2!A:A,A6,Лист2!B:B,B6)</f>
        <v>21</v>
      </c>
      <c r="F6">
        <f>SUMIFS(Лист2!D:D,Лист2!A:A,A6,Лист2!B:B,B6)</f>
        <v>1860</v>
      </c>
      <c r="G6">
        <f>SUMIFS(Лист2!E:E,Лист2!A:A,A6,Лист2!B:B,B6)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>
        <f>SUMIFS(Лист2!C:C,Лист2!A:A,A7,Лист2!B:B,B7)</f>
        <v>21</v>
      </c>
      <c r="F7">
        <f>SUMIFS(Лист2!D:D,Лист2!A:A,A7,Лист2!B:B,B7)</f>
        <v>1874</v>
      </c>
      <c r="G7">
        <f>SUMIFS(Лист2!E:E,Лист2!A:A,A7,Лист2!B:B,B7)</f>
        <v>1705</v>
      </c>
      <c r="H7">
        <f t="shared" si="0"/>
        <v>137259.92857142858</v>
      </c>
      <c r="I7">
        <f t="shared" si="1"/>
        <v>20</v>
      </c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>
        <f>SUMIFS(Лист2!C:C,Лист2!A:A,A8,Лист2!B:B,B8)</f>
        <v>21</v>
      </c>
      <c r="F8">
        <f>SUMIFS(Лист2!D:D,Лист2!A:A,A8,Лист2!B:B,B8)</f>
        <v>1735</v>
      </c>
      <c r="G8">
        <f>SUMIFS(Лист2!E:E,Лист2!A:A,A8,Лист2!B:B,B8)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>
        <f>SUMIFS(Лист2!C:C,Лист2!A:A,A9,Лист2!B:B,B9)</f>
        <v>20</v>
      </c>
      <c r="F9">
        <f>SUMIFS(Лист2!D:D,Лист2!A:A,A9,Лист2!B:B,B9)</f>
        <v>1519</v>
      </c>
      <c r="G9">
        <f>SUMIFS(Лист2!E:E,Лист2!A:A,A9,Лист2!B:B,B9)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>
        <f>SUMIFS(Лист2!C:C,Лист2!A:A,A10,Лист2!B:B,B10)</f>
        <v>18</v>
      </c>
      <c r="F10">
        <f>SUMIFS(Лист2!D:D,Лист2!A:A,A10,Лист2!B:B,B10)</f>
        <v>1684</v>
      </c>
      <c r="G10">
        <f>SUMIFS(Лист2!E:E,Лист2!A:A,A10,Лист2!B:B,B10)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>
        <f>SUMIFS(Лист2!C:C,Лист2!A:A,A11,Лист2!B:B,B11)</f>
        <v>18</v>
      </c>
      <c r="F11">
        <f>SUMIFS(Лист2!D:D,Лист2!A:A,A11,Лист2!B:B,B11)</f>
        <v>1708</v>
      </c>
      <c r="G11">
        <f>SUMIFS(Лист2!E:E,Лист2!A:A,A11,Лист2!B:B,B11)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>
        <f>SUMIFS(Лист2!C:C,Лист2!A:A,A12,Лист2!B:B,B12)</f>
        <v>20</v>
      </c>
      <c r="F12">
        <f>SUMIFS(Лист2!D:D,Лист2!A:A,A12,Лист2!B:B,B12)</f>
        <v>2044</v>
      </c>
      <c r="G12">
        <f>SUMIFS(Лист2!E:E,Лист2!A:A,A12,Лист2!B:B,B12)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>
        <f>SUMIFS(Лист2!C:C,Лист2!A:A,A13,Лист2!B:B,B13)</f>
        <v>18</v>
      </c>
      <c r="F13">
        <f>SUMIFS(Лист2!D:D,Лист2!A:A,A13,Лист2!B:B,B13)</f>
        <v>1826</v>
      </c>
      <c r="G13">
        <f>SUMIFS(Лист2!E:E,Лист2!A:A,A13,Лист2!B:B,B13)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>
        <f>SUMIFS(Лист2!C:C,Лист2!A:A,A14,Лист2!B:B,B14)</f>
        <v>21</v>
      </c>
      <c r="F14">
        <f>SUMIFS(Лист2!D:D,Лист2!A:A,A14,Лист2!B:B,B14)</f>
        <v>1656</v>
      </c>
      <c r="G14">
        <f>SUMIFS(Лист2!E:E,Лист2!A:A,A14,Лист2!B:B,B14)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>
        <f>SUMIFS(Лист2!C:C,Лист2!A:A,A15,Лист2!B:B,B15)</f>
        <v>21</v>
      </c>
      <c r="F15">
        <f>SUMIFS(Лист2!D:D,Лист2!A:A,A15,Лист2!B:B,B15)</f>
        <v>1787</v>
      </c>
      <c r="G15">
        <f>SUMIFS(Лист2!E:E,Лист2!A:A,A15,Лист2!B:B,B15)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>
        <f>SUMIFS(Лист2!C:C,Лист2!A:A,A16,Лист2!B:B,B16)</f>
        <v>21</v>
      </c>
      <c r="F16">
        <f>SUMIFS(Лист2!D:D,Лист2!A:A,A16,Лист2!B:B,B16)</f>
        <v>1921</v>
      </c>
      <c r="G16">
        <f>SUMIFS(Лист2!E:E,Лист2!A:A,A16,Лист2!B:B,B16)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>
        <f>SUMIFS(Лист2!C:C,Лист2!A:A,A17,Лист2!B:B,B17)</f>
        <v>20</v>
      </c>
      <c r="F17">
        <f>SUMIFS(Лист2!D:D,Лист2!A:A,A17,Лист2!B:B,B17)</f>
        <v>1773</v>
      </c>
      <c r="G17">
        <f>SUMIFS(Лист2!E:E,Лист2!A:A,A17,Лист2!B:B,B17)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>
        <f>SUMIFS(Лист2!C:C,Лист2!A:A,A18,Лист2!B:B,B18)</f>
        <v>18</v>
      </c>
      <c r="F18">
        <f>SUMIFS(Лист2!D:D,Лист2!A:A,A18,Лист2!B:B,B18)</f>
        <v>1539</v>
      </c>
      <c r="G18">
        <f>SUMIFS(Лист2!E:E,Лист2!A:A,A18,Лист2!B:B,B18)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>
        <f>SUMIFS(Лист2!C:C,Лист2!A:A,A19,Лист2!B:B,B19)</f>
        <v>21</v>
      </c>
      <c r="F19">
        <f>SUMIFS(Лист2!D:D,Лист2!A:A,A19,Лист2!B:B,B19)</f>
        <v>1698</v>
      </c>
      <c r="G19">
        <f>SUMIFS(Лист2!E:E,Лист2!A:A,A19,Лист2!B:B,B19)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>
        <f>SUMIFS(Лист2!C:C,Лист2!A:A,A20,Лист2!B:B,B20)</f>
        <v>20</v>
      </c>
      <c r="F20">
        <f>SUMIFS(Лист2!D:D,Лист2!A:A,A20,Лист2!B:B,B20)</f>
        <v>1520</v>
      </c>
      <c r="G20">
        <f>SUMIFS(Лист2!E:E,Лист2!A:A,A20,Лист2!B:B,B20)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>
        <f>SUMIFS(Лист2!C:C,Лист2!A:A,A21,Лист2!B:B,B21)</f>
        <v>20</v>
      </c>
      <c r="F21">
        <f>SUMIFS(Лист2!D:D,Лист2!A:A,A21,Лист2!B:B,B21)</f>
        <v>1784</v>
      </c>
      <c r="G21">
        <f>SUMIFS(Лист2!E:E,Лист2!A:A,A21,Лист2!B:B,B21)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>
        <f>SUMIFS(Лист2!C:C,Лист2!A:A,A22,Лист2!B:B,B22)</f>
        <v>21</v>
      </c>
      <c r="F22">
        <f>SUMIFS(Лист2!D:D,Лист2!A:A,A22,Лист2!B:B,B22)</f>
        <v>2340</v>
      </c>
      <c r="G22">
        <f>SUMIFS(Лист2!E:E,Лист2!A:A,A22,Лист2!B:B,B22)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>
        <f>SUMIFS(Лист2!C:C,Лист2!A:A,A23,Лист2!B:B,B23)</f>
        <v>20</v>
      </c>
      <c r="F23">
        <f>SUMIFS(Лист2!D:D,Лист2!A:A,A23,Лист2!B:B,B23)</f>
        <v>2087</v>
      </c>
      <c r="G23">
        <f>SUMIFS(Лист2!E:E,Лист2!A:A,A23,Лист2!B:B,B23)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>
        <f>SUMIFS(Лист2!C:C,Лист2!A:A,A24,Лист2!B:B,B24)</f>
        <v>19</v>
      </c>
      <c r="F24">
        <f>SUMIFS(Лист2!D:D,Лист2!A:A,A24,Лист2!B:B,B24)</f>
        <v>1712</v>
      </c>
      <c r="G24">
        <f>SUMIFS(Лист2!E:E,Лист2!A:A,A24,Лист2!B:B,B24)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>
        <f>SUMIFS(Лист2!C:C,Лист2!A:A,A25,Лист2!B:B,B25)</f>
        <v>21</v>
      </c>
      <c r="F25">
        <f>SUMIFS(Лист2!D:D,Лист2!A:A,A25,Лист2!B:B,B25)</f>
        <v>2016</v>
      </c>
      <c r="G25">
        <f>SUMIFS(Лист2!E:E,Лист2!A:A,A25,Лист2!B:B,B25)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>
        <f>SUMIFS(Лист2!C:C,Лист2!A:A,A26,Лист2!B:B,B26)</f>
        <v>21</v>
      </c>
      <c r="F26">
        <f>SUMIFS(Лист2!D:D,Лист2!A:A,A26,Лист2!B:B,B26)</f>
        <v>1646</v>
      </c>
      <c r="G26">
        <f>SUMIFS(Лист2!E:E,Лист2!A:A,A26,Лист2!B:B,B26)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>
        <f>SUMIFS(Лист2!C:C,Лист2!A:A,A27,Лист2!B:B,B27)</f>
        <v>21</v>
      </c>
      <c r="F27">
        <f>SUMIFS(Лист2!D:D,Лист2!A:A,A27,Лист2!B:B,B27)</f>
        <v>1542</v>
      </c>
      <c r="G27">
        <f>SUMIFS(Лист2!E:E,Лист2!A:A,A27,Лист2!B:B,B27)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>
        <f>SUMIFS(Лист2!C:C,Лист2!A:A,A28,Лист2!B:B,B28)</f>
        <v>20</v>
      </c>
      <c r="F28">
        <f>SUMIFS(Лист2!D:D,Лист2!A:A,A28,Лист2!B:B,B28)</f>
        <v>1999</v>
      </c>
      <c r="G28">
        <f>SUMIFS(Лист2!E:E,Лист2!A:A,A28,Лист2!B:B,B28)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>
        <f>SUMIFS(Лист2!C:C,Лист2!A:A,A29,Лист2!B:B,B29)</f>
        <v>21</v>
      </c>
      <c r="F29">
        <f>SUMIFS(Лист2!D:D,Лист2!A:A,A29,Лист2!B:B,B29)</f>
        <v>2271</v>
      </c>
      <c r="G29">
        <f>SUMIFS(Лист2!E:E,Лист2!A:A,A29,Лист2!B:B,B29)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>
        <f>SUMIFS(Лист2!C:C,Лист2!A:A,A30,Лист2!B:B,B30)</f>
        <v>20</v>
      </c>
      <c r="F30">
        <f>SUMIFS(Лист2!D:D,Лист2!A:A,A30,Лист2!B:B,B30)</f>
        <v>2597</v>
      </c>
      <c r="G30">
        <f>SUMIFS(Лист2!E:E,Лист2!A:A,A30,Лист2!B:B,B30)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>
        <f>SUMIFS(Лист2!C:C,Лист2!A:A,A31,Лист2!B:B,B31)</f>
        <v>20</v>
      </c>
      <c r="F31">
        <f>SUMIFS(Лист2!D:D,Лист2!A:A,A31,Лист2!B:B,B31)</f>
        <v>1886</v>
      </c>
      <c r="G31">
        <f>SUMIFS(Лист2!E:E,Лист2!A:A,A31,Лист2!B:B,B31)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>
        <f>SUMIFS(Лист2!C:C,Лист2!A:A,A32,Лист2!B:B,B32)</f>
        <v>31</v>
      </c>
      <c r="F32">
        <f>SUMIFS(Лист2!D:D,Лист2!A:A,A32,Лист2!B:B,B32)</f>
        <v>5593</v>
      </c>
      <c r="G32">
        <f>SUMIFS(Лист2!E:E,Лист2!A:A,A32,Лист2!B:B,B32)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>
        <f>SUMIFS(Лист2!C:C,Лист2!A:A,A33,Лист2!B:B,B33)</f>
        <v>31</v>
      </c>
      <c r="F33">
        <f>SUMIFS(Лист2!D:D,Лист2!A:A,A33,Лист2!B:B,B33)</f>
        <v>5389</v>
      </c>
      <c r="G33">
        <f>SUMIFS(Лист2!E:E,Лист2!A:A,A33,Лист2!B:B,B33)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>
        <f>SUMIFS(Лист2!C:C,Лист2!A:A,A34,Лист2!B:B,B34)</f>
        <v>31</v>
      </c>
      <c r="F34">
        <f>SUMIFS(Лист2!D:D,Лист2!A:A,A34,Лист2!B:B,B34)</f>
        <v>5206</v>
      </c>
      <c r="G34">
        <f>SUMIFS(Лист2!E:E,Лист2!A:A,A34,Лист2!B:B,B34)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>
        <f>SUMIFS(Лист2!C:C,Лист2!A:A,A35,Лист2!B:B,B35)</f>
        <v>31</v>
      </c>
      <c r="F35">
        <f>SUMIFS(Лист2!D:D,Лист2!A:A,A35,Лист2!B:B,B35)</f>
        <v>4556</v>
      </c>
      <c r="G35">
        <f>SUMIFS(Лист2!E:E,Лист2!A:A,A35,Лист2!B:B,B35)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>
        <f>SUMIFS(Лист2!C:C,Лист2!A:A,A36,Лист2!B:B,B36)</f>
        <v>31</v>
      </c>
      <c r="F36">
        <f>SUMIFS(Лист2!D:D,Лист2!A:A,A36,Лист2!B:B,B36)</f>
        <v>4968</v>
      </c>
      <c r="G36">
        <f>SUMIFS(Лист2!E:E,Лист2!A:A,A36,Лист2!B:B,B36)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>
        <f>SUMIFS(Лист2!C:C,Лист2!A:A,A37,Лист2!B:B,B37)</f>
        <v>31</v>
      </c>
      <c r="F37">
        <f>SUMIFS(Лист2!D:D,Лист2!A:A,A37,Лист2!B:B,B37)</f>
        <v>5378</v>
      </c>
      <c r="G37">
        <f>SUMIFS(Лист2!E:E,Лист2!A:A,A37,Лист2!B:B,B37)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>
        <f>SUMIFS(Лист2!C:C,Лист2!A:A,A38,Лист2!B:B,B38)</f>
        <v>31</v>
      </c>
      <c r="F38">
        <f>SUMIFS(Лист2!D:D,Лист2!A:A,A38,Лист2!B:B,B38)</f>
        <v>4157</v>
      </c>
      <c r="G38">
        <f>SUMIFS(Лист2!E:E,Лист2!A:A,A38,Лист2!B:B,B38)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>
        <f>SUMIFS(Лист2!C:C,Лист2!A:A,A39,Лист2!B:B,B39)</f>
        <v>31</v>
      </c>
      <c r="F39">
        <f>SUMIFS(Лист2!D:D,Лист2!A:A,A39,Лист2!B:B,B39)</f>
        <v>5493</v>
      </c>
      <c r="G39">
        <f>SUMIFS(Лист2!E:E,Лист2!A:A,A39,Лист2!B:B,B39)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>
        <f>SUMIFS(Лист2!C:C,Лист2!A:A,A40,Лист2!B:B,B40)</f>
        <v>31</v>
      </c>
      <c r="F40">
        <f>SUMIFS(Лист2!D:D,Лист2!A:A,A40,Лист2!B:B,B40)</f>
        <v>6118</v>
      </c>
      <c r="G40">
        <f>SUMIFS(Лист2!E:E,Лист2!A:A,A40,Лист2!B:B,B40)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>
        <f>SUMIFS(Лист2!C:C,Лист2!A:A,A41,Лист2!B:B,B41)</f>
        <v>31</v>
      </c>
      <c r="F41">
        <f>SUMIFS(Лист2!D:D,Лист2!A:A,A41,Лист2!B:B,B41)</f>
        <v>4800</v>
      </c>
      <c r="G41">
        <f>SUMIFS(Лист2!E:E,Лист2!A:A,A41,Лист2!B:B,B41)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>
        <f>SUMIFS(Лист2!C:C,Лист2!A:A,A42,Лист2!B:B,B42)</f>
        <v>31</v>
      </c>
      <c r="F42">
        <f>SUMIFS(Лист2!D:D,Лист2!A:A,A42,Лист2!B:B,B42)</f>
        <v>5207</v>
      </c>
      <c r="G42">
        <f>SUMIFS(Лист2!E:E,Лист2!A:A,A42,Лист2!B:B,B42)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>
        <f>SUMIFS(Лист2!C:C,Лист2!A:A,A43,Лист2!B:B,B43)</f>
        <v>31</v>
      </c>
      <c r="F43">
        <f>SUMIFS(Лист2!D:D,Лист2!A:A,A43,Лист2!B:B,B43)</f>
        <v>5698</v>
      </c>
      <c r="G43">
        <f>SUMIFS(Лист2!E:E,Лист2!A:A,A43,Лист2!B:B,B43)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>
        <f>SUMIFS(Лист2!C:C,Лист2!A:A,A44,Лист2!B:B,B44)</f>
        <v>31</v>
      </c>
      <c r="F44">
        <f>SUMIFS(Лист2!D:D,Лист2!A:A,A44,Лист2!B:B,B44)</f>
        <v>5188</v>
      </c>
      <c r="G44">
        <f>SUMIFS(Лист2!E:E,Лист2!A:A,A44,Лист2!B:B,B44)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>
        <f>SUMIFS(Лист2!C:C,Лист2!A:A,A45,Лист2!B:B,B45)</f>
        <v>31</v>
      </c>
      <c r="F45">
        <f>SUMIFS(Лист2!D:D,Лист2!A:A,A45,Лист2!B:B,B45)</f>
        <v>5465</v>
      </c>
      <c r="G45">
        <f>SUMIFS(Лист2!E:E,Лист2!A:A,A45,Лист2!B:B,B45)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>
        <f>SUMIFS(Лист2!C:C,Лист2!A:A,A46,Лист2!B:B,B46)</f>
        <v>31</v>
      </c>
      <c r="F46">
        <f>SUMIFS(Лист2!D:D,Лист2!A:A,A46,Лист2!B:B,B46)</f>
        <v>5251</v>
      </c>
      <c r="G46">
        <f>SUMIFS(Лист2!E:E,Лист2!A:A,A46,Лист2!B:B,B46)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>
        <f>SUMIFS(Лист2!C:C,Лист2!A:A,A47,Лист2!B:B,B47)</f>
        <v>31</v>
      </c>
      <c r="F47">
        <f>SUMIFS(Лист2!D:D,Лист2!A:A,A47,Лист2!B:B,B47)</f>
        <v>5155</v>
      </c>
      <c r="G47">
        <f>SUMIFS(Лист2!E:E,Лист2!A:A,A47,Лист2!B:B,B47)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>
        <f>SUMIFS(Лист2!C:C,Лист2!A:A,A48,Лист2!B:B,B48)</f>
        <v>31</v>
      </c>
      <c r="F48">
        <f>SUMIFS(Лист2!D:D,Лист2!A:A,A48,Лист2!B:B,B48)</f>
        <v>4709</v>
      </c>
      <c r="G48">
        <f>SUMIFS(Лист2!E:E,Лист2!A:A,A48,Лист2!B:B,B48)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>
        <f>SUMIFS(Лист2!C:C,Лист2!A:A,A49,Лист2!B:B,B49)</f>
        <v>31</v>
      </c>
      <c r="F49">
        <f>SUMIFS(Лист2!D:D,Лист2!A:A,A49,Лист2!B:B,B49)</f>
        <v>6276</v>
      </c>
      <c r="G49">
        <f>SUMIFS(Лист2!E:E,Лист2!A:A,A49,Лист2!B:B,B49)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>
        <f>SUMIFS(Лист2!C:C,Лист2!A:A,A50,Лист2!B:B,B50)</f>
        <v>31</v>
      </c>
      <c r="F50">
        <f>SUMIFS(Лист2!D:D,Лист2!A:A,A50,Лист2!B:B,B50)</f>
        <v>5210</v>
      </c>
      <c r="G50">
        <f>SUMIFS(Лист2!E:E,Лист2!A:A,A50,Лист2!B:B,B50)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>
        <f>SUMIFS(Лист2!C:C,Лист2!A:A,A51,Лист2!B:B,B51)</f>
        <v>31</v>
      </c>
      <c r="F51">
        <f>SUMIFS(Лист2!D:D,Лист2!A:A,A51,Лист2!B:B,B51)</f>
        <v>5120</v>
      </c>
      <c r="G51">
        <f>SUMIFS(Лист2!E:E,Лист2!A:A,A51,Лист2!B:B,B51)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>
        <f>SUMIFS(Лист2!C:C,Лист2!A:A,A52,Лист2!B:B,B52)</f>
        <v>31</v>
      </c>
      <c r="F52">
        <f>SUMIFS(Лист2!D:D,Лист2!A:A,A52,Лист2!B:B,B52)</f>
        <v>5495</v>
      </c>
      <c r="G52">
        <f>SUMIFS(Лист2!E:E,Лист2!A:A,A52,Лист2!B:B,B52)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>
        <f>SUMIFS(Лист2!C:C,Лист2!A:A,A53,Лист2!B:B,B53)</f>
        <v>31</v>
      </c>
      <c r="F53">
        <f>SUMIFS(Лист2!D:D,Лист2!A:A,A53,Лист2!B:B,B53)</f>
        <v>4635</v>
      </c>
      <c r="G53">
        <f>SUMIFS(Лист2!E:E,Лист2!A:A,A53,Лист2!B:B,B53)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>
        <f>SUMIFS(Лист2!C:C,Лист2!A:A,A54,Лист2!B:B,B54)</f>
        <v>31</v>
      </c>
      <c r="F54">
        <f>SUMIFS(Лист2!D:D,Лист2!A:A,A54,Лист2!B:B,B54)</f>
        <v>4903</v>
      </c>
      <c r="G54">
        <f>SUMIFS(Лист2!E:E,Лист2!A:A,A54,Лист2!B:B,B54)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>
        <f>SUMIFS(Лист2!C:C,Лист2!A:A,A55,Лист2!B:B,B55)</f>
        <v>31</v>
      </c>
      <c r="F55">
        <f>SUMIFS(Лист2!D:D,Лист2!A:A,A55,Лист2!B:B,B55)</f>
        <v>5035</v>
      </c>
      <c r="G55">
        <f>SUMIFS(Лист2!E:E,Лист2!A:A,A55,Лист2!B:B,B55)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>
        <f>SUMIFS(Лист2!C:C,Лист2!A:A,A56,Лист2!B:B,B56)</f>
        <v>10</v>
      </c>
      <c r="F56">
        <f>SUMIFS(Лист2!D:D,Лист2!A:A,A56,Лист2!B:B,B56)</f>
        <v>760</v>
      </c>
      <c r="G56">
        <f>SUMIFS(Лист2!E:E,Лист2!A:A,A56,Лист2!B:B,B56)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>
        <f>SUMIFS(Лист2!C:C,Лист2!A:A,A57,Лист2!B:B,B57)</f>
        <v>10</v>
      </c>
      <c r="F57">
        <f>SUMIFS(Лист2!D:D,Лист2!A:A,A57,Лист2!B:B,B57)</f>
        <v>649</v>
      </c>
      <c r="G57">
        <f>SUMIFS(Лист2!E:E,Лист2!A:A,A57,Лист2!B:B,B57)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>
        <f>SUMIFS(Лист2!C:C,Лист2!A:A,A58,Лист2!B:B,B58)</f>
        <v>10</v>
      </c>
      <c r="F58">
        <f>SUMIFS(Лист2!D:D,Лист2!A:A,A58,Лист2!B:B,B58)</f>
        <v>591</v>
      </c>
      <c r="G58">
        <f>SUMIFS(Лист2!E:E,Лист2!A:A,A58,Лист2!B:B,B58)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>
        <f>SUMIFS(Лист2!C:C,Лист2!A:A,A59,Лист2!B:B,B59)</f>
        <v>10</v>
      </c>
      <c r="F59">
        <f>SUMIFS(Лист2!D:D,Лист2!A:A,A59,Лист2!B:B,B59)</f>
        <v>644</v>
      </c>
      <c r="G59">
        <f>SUMIFS(Лист2!E:E,Лист2!A:A,A59,Лист2!B:B,B59)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>
        <f>SUMIFS(Лист2!C:C,Лист2!A:A,A60,Лист2!B:B,B60)</f>
        <v>10</v>
      </c>
      <c r="F60">
        <f>SUMIFS(Лист2!D:D,Лист2!A:A,A60,Лист2!B:B,B60)</f>
        <v>462</v>
      </c>
      <c r="G60">
        <f>SUMIFS(Лист2!E:E,Лист2!A:A,A60,Лист2!B:B,B60)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>
        <f>SUMIFS(Лист2!C:C,Лист2!A:A,A61,Лист2!B:B,B61)</f>
        <v>10</v>
      </c>
      <c r="F61">
        <f>SUMIFS(Лист2!D:D,Лист2!A:A,A61,Лист2!B:B,B61)</f>
        <v>502</v>
      </c>
      <c r="G61">
        <f>SUMIFS(Лист2!E:E,Лист2!A:A,A61,Лист2!B:B,B61)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>
        <f>SUMIFS(Лист2!C:C,Лист2!A:A,A62,Лист2!B:B,B62)</f>
        <v>10</v>
      </c>
      <c r="F62">
        <f>SUMIFS(Лист2!D:D,Лист2!A:A,A62,Лист2!B:B,B62)</f>
        <v>416</v>
      </c>
      <c r="G62">
        <f>SUMIFS(Лист2!E:E,Лист2!A:A,A62,Лист2!B:B,B62)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>
        <f>SUMIFS(Лист2!C:C,Лист2!A:A,A63,Лист2!B:B,B63)</f>
        <v>10</v>
      </c>
      <c r="F63">
        <f>SUMIFS(Лист2!D:D,Лист2!A:A,A63,Лист2!B:B,B63)</f>
        <v>692</v>
      </c>
      <c r="G63">
        <f>SUMIFS(Лист2!E:E,Лист2!A:A,A63,Лист2!B:B,B63)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>
        <f>SUMIFS(Лист2!C:C,Лист2!A:A,A64,Лист2!B:B,B64)</f>
        <v>10</v>
      </c>
      <c r="F64">
        <f>SUMIFS(Лист2!D:D,Лист2!A:A,A64,Лист2!B:B,B64)</f>
        <v>554</v>
      </c>
      <c r="G64">
        <f>SUMIFS(Лист2!E:E,Лист2!A:A,A64,Лист2!B:B,B64)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>
        <f>SUMIFS(Лист2!C:C,Лист2!A:A,A65,Лист2!B:B,B65)</f>
        <v>10</v>
      </c>
      <c r="F65">
        <f>SUMIFS(Лист2!D:D,Лист2!A:A,A65,Лист2!B:B,B65)</f>
        <v>526</v>
      </c>
      <c r="G65">
        <f>SUMIFS(Лист2!E:E,Лист2!A:A,A65,Лист2!B:B,B65)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>
        <f>SUMIFS(Лист2!C:C,Лист2!A:A,A66,Лист2!B:B,B66)</f>
        <v>10</v>
      </c>
      <c r="F66">
        <f>SUMIFS(Лист2!D:D,Лист2!A:A,A66,Лист2!B:B,B66)</f>
        <v>677</v>
      </c>
      <c r="G66">
        <f>SUMIFS(Лист2!E:E,Лист2!A:A,A66,Лист2!B:B,B66)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>
        <f>SUMIFS(Лист2!C:C,Лист2!A:A,A67,Лист2!B:B,B67)</f>
        <v>10</v>
      </c>
      <c r="F67">
        <f>SUMIFS(Лист2!D:D,Лист2!A:A,A67,Лист2!B:B,B67)</f>
        <v>745</v>
      </c>
      <c r="G67">
        <f>SUMIFS(Лист2!E:E,Лист2!A:A,A67,Лист2!B:B,B67)</f>
        <v>654</v>
      </c>
      <c r="H67">
        <f t="shared" ref="H67:H130" si="2">D67/E67</f>
        <v>103724.7</v>
      </c>
      <c r="I67">
        <f t="shared" ref="I67:I130" si="3">WEEKNUM(A67,21)</f>
        <v>21</v>
      </c>
    </row>
    <row r="68" spans="1:9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>
        <f>SUMIFS(Лист2!C:C,Лист2!A:A,A68,Лист2!B:B,B68)</f>
        <v>10</v>
      </c>
      <c r="F68">
        <f>SUMIFS(Лист2!D:D,Лист2!A:A,A68,Лист2!B:B,B68)</f>
        <v>511</v>
      </c>
      <c r="G68">
        <f>SUMIFS(Лист2!E:E,Лист2!A:A,A68,Лист2!B:B,B68)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>
        <f>SUMIFS(Лист2!C:C,Лист2!A:A,A69,Лист2!B:B,B69)</f>
        <v>10</v>
      </c>
      <c r="F69">
        <f>SUMIFS(Лист2!D:D,Лист2!A:A,A69,Лист2!B:B,B69)</f>
        <v>580</v>
      </c>
      <c r="G69">
        <f>SUMIFS(Лист2!E:E,Лист2!A:A,A69,Лист2!B:B,B69)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>
        <f>SUMIFS(Лист2!C:C,Лист2!A:A,A70,Лист2!B:B,B70)</f>
        <v>10</v>
      </c>
      <c r="F70">
        <f>SUMIFS(Лист2!D:D,Лист2!A:A,A70,Лист2!B:B,B70)</f>
        <v>612</v>
      </c>
      <c r="G70">
        <f>SUMIFS(Лист2!E:E,Лист2!A:A,A70,Лист2!B:B,B70)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>
        <f>SUMIFS(Лист2!C:C,Лист2!A:A,A71,Лист2!B:B,B71)</f>
        <v>31</v>
      </c>
      <c r="F71">
        <f>SUMIFS(Лист2!D:D,Лист2!A:A,A71,Лист2!B:B,B71)</f>
        <v>5760</v>
      </c>
      <c r="G71">
        <f>SUMIFS(Лист2!E:E,Лист2!A:A,A71,Лист2!B:B,B71)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>
        <f>SUMIFS(Лист2!C:C,Лист2!A:A,A72,Лист2!B:B,B72)</f>
        <v>10</v>
      </c>
      <c r="F72">
        <f>SUMIFS(Лист2!D:D,Лист2!A:A,A72,Лист2!B:B,B72)</f>
        <v>402</v>
      </c>
      <c r="G72">
        <f>SUMIFS(Лист2!E:E,Лист2!A:A,A72,Лист2!B:B,B72)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>
        <f>SUMIFS(Лист2!C:C,Лист2!A:A,A73,Лист2!B:B,B73)</f>
        <v>31</v>
      </c>
      <c r="F73">
        <f>SUMIFS(Лист2!D:D,Лист2!A:A,A73,Лист2!B:B,B73)</f>
        <v>6735</v>
      </c>
      <c r="G73">
        <f>SUMIFS(Лист2!E:E,Лист2!A:A,A73,Лист2!B:B,B73)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>
        <f>SUMIFS(Лист2!C:C,Лист2!A:A,A74,Лист2!B:B,B74)</f>
        <v>10</v>
      </c>
      <c r="F74">
        <f>SUMIFS(Лист2!D:D,Лист2!A:A,A74,Лист2!B:B,B74)</f>
        <v>465</v>
      </c>
      <c r="G74">
        <f>SUMIFS(Лист2!E:E,Лист2!A:A,A74,Лист2!B:B,B74)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>
        <f>SUMIFS(Лист2!C:C,Лист2!A:A,A75,Лист2!B:B,B75)</f>
        <v>10</v>
      </c>
      <c r="F75">
        <f>SUMIFS(Лист2!D:D,Лист2!A:A,A75,Лист2!B:B,B75)</f>
        <v>828</v>
      </c>
      <c r="G75">
        <f>SUMIFS(Лист2!E:E,Лист2!A:A,A75,Лист2!B:B,B75)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>
        <f>SUMIFS(Лист2!C:C,Лист2!A:A,A76,Лист2!B:B,B76)</f>
        <v>31</v>
      </c>
      <c r="F76">
        <f>SUMIFS(Лист2!D:D,Лист2!A:A,A76,Лист2!B:B,B76)</f>
        <v>5355</v>
      </c>
      <c r="G76">
        <f>SUMIFS(Лист2!E:E,Лист2!A:A,A76,Лист2!B:B,B76)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>
        <f>SUMIFS(Лист2!C:C,Лист2!A:A,A77,Лист2!B:B,B77)</f>
        <v>10</v>
      </c>
      <c r="F77">
        <f>SUMIFS(Лист2!D:D,Лист2!A:A,A77,Лист2!B:B,B77)</f>
        <v>739</v>
      </c>
      <c r="G77">
        <f>SUMIFS(Лист2!E:E,Лист2!A:A,A77,Лист2!B:B,B77)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>
        <f>SUMIFS(Лист2!C:C,Лист2!A:A,A78,Лист2!B:B,B78)</f>
        <v>10</v>
      </c>
      <c r="F78">
        <f>SUMIFS(Лист2!D:D,Лист2!A:A,A78,Лист2!B:B,B78)</f>
        <v>448</v>
      </c>
      <c r="G78">
        <f>SUMIFS(Лист2!E:E,Лист2!A:A,A78,Лист2!B:B,B78)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>
        <f>SUMIFS(Лист2!C:C,Лист2!A:A,A79,Лист2!B:B,B79)</f>
        <v>10</v>
      </c>
      <c r="F79">
        <f>SUMIFS(Лист2!D:D,Лист2!A:A,A79,Лист2!B:B,B79)</f>
        <v>642</v>
      </c>
      <c r="G79">
        <f>SUMIFS(Лист2!E:E,Лист2!A:A,A79,Лист2!B:B,B79)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>
        <f>SUMIFS(Лист2!C:C,Лист2!A:A,A80,Лист2!B:B,B80)</f>
        <v>10</v>
      </c>
      <c r="F80">
        <f>SUMIFS(Лист2!D:D,Лист2!A:A,A80,Лист2!B:B,B80)</f>
        <v>638</v>
      </c>
      <c r="G80">
        <f>SUMIFS(Лист2!E:E,Лист2!A:A,A80,Лист2!B:B,B80)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>
        <f>SUMIFS(Лист2!C:C,Лист2!A:A,A81,Лист2!B:B,B81)</f>
        <v>10</v>
      </c>
      <c r="F81">
        <f>SUMIFS(Лист2!D:D,Лист2!A:A,A81,Лист2!B:B,B81)</f>
        <v>563</v>
      </c>
      <c r="G81">
        <f>SUMIFS(Лист2!E:E,Лист2!A:A,A81,Лист2!B:B,B81)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>
        <f>SUMIFS(Лист2!C:C,Лист2!A:A,A82,Лист2!B:B,B82)</f>
        <v>10</v>
      </c>
      <c r="F82">
        <f>SUMIFS(Лист2!D:D,Лист2!A:A,A82,Лист2!B:B,B82)</f>
        <v>639</v>
      </c>
      <c r="G82">
        <f>SUMIFS(Лист2!E:E,Лист2!A:A,A82,Лист2!B:B,B82)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>
        <f>SUMIFS(Лист2!C:C,Лист2!A:A,A83,Лист2!B:B,B83)</f>
        <v>10</v>
      </c>
      <c r="F83">
        <f>SUMIFS(Лист2!D:D,Лист2!A:A,A83,Лист2!B:B,B83)</f>
        <v>749</v>
      </c>
      <c r="G83">
        <f>SUMIFS(Лист2!E:E,Лист2!A:A,A83,Лист2!B:B,B83)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>
        <f>SUMIFS(Лист2!C:C,Лист2!A:A,A84,Лист2!B:B,B84)</f>
        <v>10</v>
      </c>
      <c r="F84">
        <f>SUMIFS(Лист2!D:D,Лист2!A:A,A84,Лист2!B:B,B84)</f>
        <v>865</v>
      </c>
      <c r="G84">
        <f>SUMIFS(Лист2!E:E,Лист2!A:A,A84,Лист2!B:B,B84)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>
        <f>SUMIFS(Лист2!C:C,Лист2!A:A,A85,Лист2!B:B,B85)</f>
        <v>10</v>
      </c>
      <c r="F85">
        <f>SUMIFS(Лист2!D:D,Лист2!A:A,A85,Лист2!B:B,B85)</f>
        <v>791</v>
      </c>
      <c r="G85">
        <f>SUMIFS(Лист2!E:E,Лист2!A:A,A85,Лист2!B:B,B85)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>
        <f>SUMIFS(Лист2!C:C,Лист2!A:A,A86,Лист2!B:B,B86)</f>
        <v>19</v>
      </c>
      <c r="F86">
        <f>SUMIFS(Лист2!D:D,Лист2!A:A,A86,Лист2!B:B,B86)</f>
        <v>2080</v>
      </c>
      <c r="G86">
        <f>SUMIFS(Лист2!E:E,Лист2!A:A,A86,Лист2!B:B,B86)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>
        <f>SUMIFS(Лист2!C:C,Лист2!A:A,A87,Лист2!B:B,B87)</f>
        <v>19</v>
      </c>
      <c r="F87">
        <f>SUMIFS(Лист2!D:D,Лист2!A:A,A87,Лист2!B:B,B87)</f>
        <v>1999</v>
      </c>
      <c r="G87">
        <f>SUMIFS(Лист2!E:E,Лист2!A:A,A87,Лист2!B:B,B87)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>
        <f>SUMIFS(Лист2!C:C,Лист2!A:A,A88,Лист2!B:B,B88)</f>
        <v>19</v>
      </c>
      <c r="F88">
        <f>SUMIFS(Лист2!D:D,Лист2!A:A,A88,Лист2!B:B,B88)</f>
        <v>1871</v>
      </c>
      <c r="G88">
        <f>SUMIFS(Лист2!E:E,Лист2!A:A,A88,Лист2!B:B,B88)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>
        <f>SUMIFS(Лист2!C:C,Лист2!A:A,A89,Лист2!B:B,B89)</f>
        <v>19</v>
      </c>
      <c r="F89">
        <f>SUMIFS(Лист2!D:D,Лист2!A:A,A89,Лист2!B:B,B89)</f>
        <v>1851</v>
      </c>
      <c r="G89">
        <f>SUMIFS(Лист2!E:E,Лист2!A:A,A89,Лист2!B:B,B89)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>
        <f>SUMIFS(Лист2!C:C,Лист2!A:A,A90,Лист2!B:B,B90)</f>
        <v>19</v>
      </c>
      <c r="F90">
        <f>SUMIFS(Лист2!D:D,Лист2!A:A,A90,Лист2!B:B,B90)</f>
        <v>1582</v>
      </c>
      <c r="G90">
        <f>SUMIFS(Лист2!E:E,Лист2!A:A,A90,Лист2!B:B,B90)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>
        <f>SUMIFS(Лист2!C:C,Лист2!A:A,A91,Лист2!B:B,B91)</f>
        <v>18</v>
      </c>
      <c r="F91">
        <f>SUMIFS(Лист2!D:D,Лист2!A:A,A91,Лист2!B:B,B91)</f>
        <v>1534</v>
      </c>
      <c r="G91">
        <f>SUMIFS(Лист2!E:E,Лист2!A:A,A91,Лист2!B:B,B91)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>
        <f>SUMIFS(Лист2!C:C,Лист2!A:A,A92,Лист2!B:B,B92)</f>
        <v>19</v>
      </c>
      <c r="F92">
        <f>SUMIFS(Лист2!D:D,Лист2!A:A,A92,Лист2!B:B,B92)</f>
        <v>1217</v>
      </c>
      <c r="G92">
        <f>SUMIFS(Лист2!E:E,Лист2!A:A,A92,Лист2!B:B,B92)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>
        <f>SUMIFS(Лист2!C:C,Лист2!A:A,A93,Лист2!B:B,B93)</f>
        <v>20</v>
      </c>
      <c r="F93">
        <f>SUMIFS(Лист2!D:D,Лист2!A:A,A93,Лист2!B:B,B93)</f>
        <v>2036</v>
      </c>
      <c r="G93">
        <f>SUMIFS(Лист2!E:E,Лист2!A:A,A93,Лист2!B:B,B93)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>
        <f>SUMIFS(Лист2!C:C,Лист2!A:A,A94,Лист2!B:B,B94)</f>
        <v>19</v>
      </c>
      <c r="F94">
        <f>SUMIFS(Лист2!D:D,Лист2!A:A,A94,Лист2!B:B,B94)</f>
        <v>1497</v>
      </c>
      <c r="G94">
        <f>SUMIFS(Лист2!E:E,Лист2!A:A,A94,Лист2!B:B,B94)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>
        <f>SUMIFS(Лист2!C:C,Лист2!A:A,A95,Лист2!B:B,B95)</f>
        <v>19</v>
      </c>
      <c r="F95">
        <f>SUMIFS(Лист2!D:D,Лист2!A:A,A95,Лист2!B:B,B95)</f>
        <v>1649</v>
      </c>
      <c r="G95">
        <f>SUMIFS(Лист2!E:E,Лист2!A:A,A95,Лист2!B:B,B95)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>
        <f>SUMIFS(Лист2!C:C,Лист2!A:A,A96,Лист2!B:B,B96)</f>
        <v>19</v>
      </c>
      <c r="F96">
        <f>SUMIFS(Лист2!D:D,Лист2!A:A,A96,Лист2!B:B,B96)</f>
        <v>1949</v>
      </c>
      <c r="G96">
        <f>SUMIFS(Лист2!E:E,Лист2!A:A,A96,Лист2!B:B,B96)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>
        <f>SUMIFS(Лист2!C:C,Лист2!A:A,A97,Лист2!B:B,B97)</f>
        <v>19</v>
      </c>
      <c r="F97">
        <f>SUMIFS(Лист2!D:D,Лист2!A:A,A97,Лист2!B:B,B97)</f>
        <v>1889</v>
      </c>
      <c r="G97">
        <f>SUMIFS(Лист2!E:E,Лист2!A:A,A97,Лист2!B:B,B97)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>
        <f>SUMIFS(Лист2!C:C,Лист2!A:A,A98,Лист2!B:B,B98)</f>
        <v>19</v>
      </c>
      <c r="F98">
        <f>SUMIFS(Лист2!D:D,Лист2!A:A,A98,Лист2!B:B,B98)</f>
        <v>1417</v>
      </c>
      <c r="G98">
        <f>SUMIFS(Лист2!E:E,Лист2!A:A,A98,Лист2!B:B,B98)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>
        <f>SUMIFS(Лист2!C:C,Лист2!A:A,A99,Лист2!B:B,B99)</f>
        <v>17</v>
      </c>
      <c r="F99">
        <f>SUMIFS(Лист2!D:D,Лист2!A:A,A99,Лист2!B:B,B99)</f>
        <v>1439</v>
      </c>
      <c r="G99">
        <f>SUMIFS(Лист2!E:E,Лист2!A:A,A99,Лист2!B:B,B99)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>
        <f>SUMIFS(Лист2!C:C,Лист2!A:A,A100,Лист2!B:B,B100)</f>
        <v>19</v>
      </c>
      <c r="F100">
        <f>SUMIFS(Лист2!D:D,Лист2!A:A,A100,Лист2!B:B,B100)</f>
        <v>1625</v>
      </c>
      <c r="G100">
        <f>SUMIFS(Лист2!E:E,Лист2!A:A,A100,Лист2!B:B,B100)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>
        <f>SUMIFS(Лист2!C:C,Лист2!A:A,A101,Лист2!B:B,B101)</f>
        <v>19</v>
      </c>
      <c r="F101">
        <f>SUMIFS(Лист2!D:D,Лист2!A:A,A101,Лист2!B:B,B101)</f>
        <v>1402</v>
      </c>
      <c r="G101">
        <f>SUMIFS(Лист2!E:E,Лист2!A:A,A101,Лист2!B:B,B101)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>
        <f>SUMIFS(Лист2!C:C,Лист2!A:A,A102,Лист2!B:B,B102)</f>
        <v>19</v>
      </c>
      <c r="F102">
        <f>SUMIFS(Лист2!D:D,Лист2!A:A,A102,Лист2!B:B,B102)</f>
        <v>1499</v>
      </c>
      <c r="G102">
        <f>SUMIFS(Лист2!E:E,Лист2!A:A,A102,Лист2!B:B,B102)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>
        <f>SUMIFS(Лист2!C:C,Лист2!A:A,A103,Лист2!B:B,B103)</f>
        <v>20</v>
      </c>
      <c r="F103">
        <f>SUMIFS(Лист2!D:D,Лист2!A:A,A103,Лист2!B:B,B103)</f>
        <v>2266</v>
      </c>
      <c r="G103">
        <f>SUMIFS(Лист2!E:E,Лист2!A:A,A103,Лист2!B:B,B103)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>
        <f>SUMIFS(Лист2!C:C,Лист2!A:A,A104,Лист2!B:B,B104)</f>
        <v>20</v>
      </c>
      <c r="F104">
        <f>SUMIFS(Лист2!D:D,Лист2!A:A,A104,Лист2!B:B,B104)</f>
        <v>2011</v>
      </c>
      <c r="G104">
        <f>SUMIFS(Лист2!E:E,Лист2!A:A,A104,Лист2!B:B,B104)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>
        <f>SUMIFS(Лист2!C:C,Лист2!A:A,A105,Лист2!B:B,B105)</f>
        <v>19</v>
      </c>
      <c r="F105">
        <f>SUMIFS(Лист2!D:D,Лист2!A:A,A105,Лист2!B:B,B105)</f>
        <v>1499</v>
      </c>
      <c r="G105">
        <f>SUMIFS(Лист2!E:E,Лист2!A:A,A105,Лист2!B:B,B105)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>
        <f>SUMIFS(Лист2!C:C,Лист2!A:A,A106,Лист2!B:B,B106)</f>
        <v>19</v>
      </c>
      <c r="F106">
        <f>SUMIFS(Лист2!D:D,Лист2!A:A,A106,Лист2!B:B,B106)</f>
        <v>1848</v>
      </c>
      <c r="G106">
        <f>SUMIFS(Лист2!E:E,Лист2!A:A,A106,Лист2!B:B,B106)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>
        <f>SUMIFS(Лист2!C:C,Лист2!A:A,A107,Лист2!B:B,B107)</f>
        <v>19</v>
      </c>
      <c r="F107">
        <f>SUMIFS(Лист2!D:D,Лист2!A:A,A107,Лист2!B:B,B107)</f>
        <v>1522</v>
      </c>
      <c r="G107">
        <f>SUMIFS(Лист2!E:E,Лист2!A:A,A107,Лист2!B:B,B107)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>
        <f>SUMIFS(Лист2!C:C,Лист2!A:A,A108,Лист2!B:B,B108)</f>
        <v>19</v>
      </c>
      <c r="F108">
        <f>SUMIFS(Лист2!D:D,Лист2!A:A,A108,Лист2!B:B,B108)</f>
        <v>1530</v>
      </c>
      <c r="G108">
        <f>SUMIFS(Лист2!E:E,Лист2!A:A,A108,Лист2!B:B,B108)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>
        <f>SUMIFS(Лист2!C:C,Лист2!A:A,A109,Лист2!B:B,B109)</f>
        <v>20</v>
      </c>
      <c r="F109">
        <f>SUMIFS(Лист2!D:D,Лист2!A:A,A109,Лист2!B:B,B109)</f>
        <v>2015</v>
      </c>
      <c r="G109">
        <f>SUMIFS(Лист2!E:E,Лист2!A:A,A109,Лист2!B:B,B109)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>
        <f>SUMIFS(Лист2!C:C,Лист2!A:A,A110,Лист2!B:B,B110)</f>
        <v>20</v>
      </c>
      <c r="F110">
        <f>SUMIFS(Лист2!D:D,Лист2!A:A,A110,Лист2!B:B,B110)</f>
        <v>2060</v>
      </c>
      <c r="G110">
        <f>SUMIFS(Лист2!E:E,Лист2!A:A,A110,Лист2!B:B,B110)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>
        <f>SUMIFS(Лист2!C:C,Лист2!A:A,A111,Лист2!B:B,B111)</f>
        <v>20</v>
      </c>
      <c r="F111">
        <f>SUMIFS(Лист2!D:D,Лист2!A:A,A111,Лист2!B:B,B111)</f>
        <v>2451</v>
      </c>
      <c r="G111">
        <f>SUMIFS(Лист2!E:E,Лист2!A:A,A111,Лист2!B:B,B111)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>
        <f>SUMIFS(Лист2!C:C,Лист2!A:A,A112,Лист2!B:B,B112)</f>
        <v>20</v>
      </c>
      <c r="F112">
        <f>SUMIFS(Лист2!D:D,Лист2!A:A,A112,Лист2!B:B,B112)</f>
        <v>2088</v>
      </c>
      <c r="G112">
        <f>SUMIFS(Лист2!E:E,Лист2!A:A,A112,Лист2!B:B,B112)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>
        <f>SUMIFS(Лист2!C:C,Лист2!A:A,A113,Лист2!B:B,B113)</f>
        <v>129</v>
      </c>
      <c r="F113">
        <f>SUMIFS(Лист2!D:D,Лист2!A:A,A113,Лист2!B:B,B113)</f>
        <v>17914</v>
      </c>
      <c r="G113">
        <f>SUMIFS(Лист2!E:E,Лист2!A:A,A113,Лист2!B:B,B113)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>
        <f>SUMIFS(Лист2!C:C,Лист2!A:A,A114,Лист2!B:B,B114)</f>
        <v>129</v>
      </c>
      <c r="F114">
        <f>SUMIFS(Лист2!D:D,Лист2!A:A,A114,Лист2!B:B,B114)</f>
        <v>16191</v>
      </c>
      <c r="G114">
        <f>SUMIFS(Лист2!E:E,Лист2!A:A,A114,Лист2!B:B,B114)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>
        <f>SUMIFS(Лист2!C:C,Лист2!A:A,A115,Лист2!B:B,B115)</f>
        <v>129</v>
      </c>
      <c r="F115">
        <f>SUMIFS(Лист2!D:D,Лист2!A:A,A115,Лист2!B:B,B115)</f>
        <v>15744</v>
      </c>
      <c r="G115">
        <f>SUMIFS(Лист2!E:E,Лист2!A:A,A115,Лист2!B:B,B115)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>
        <f>SUMIFS(Лист2!C:C,Лист2!A:A,A116,Лист2!B:B,B116)</f>
        <v>129</v>
      </c>
      <c r="F116">
        <f>SUMIFS(Лист2!D:D,Лист2!A:A,A116,Лист2!B:B,B116)</f>
        <v>16420</v>
      </c>
      <c r="G116">
        <f>SUMIFS(Лист2!E:E,Лист2!A:A,A116,Лист2!B:B,B116)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>
        <f>SUMIFS(Лист2!C:C,Лист2!A:A,A117,Лист2!B:B,B117)</f>
        <v>129</v>
      </c>
      <c r="F117">
        <f>SUMIFS(Лист2!D:D,Лист2!A:A,A117,Лист2!B:B,B117)</f>
        <v>16525</v>
      </c>
      <c r="G117">
        <f>SUMIFS(Лист2!E:E,Лист2!A:A,A117,Лист2!B:B,B117)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>
        <f>SUMIFS(Лист2!C:C,Лист2!A:A,A118,Лист2!B:B,B118)</f>
        <v>128</v>
      </c>
      <c r="F118">
        <f>SUMIFS(Лист2!D:D,Лист2!A:A,A118,Лист2!B:B,B118)</f>
        <v>17368</v>
      </c>
      <c r="G118">
        <f>SUMIFS(Лист2!E:E,Лист2!A:A,A118,Лист2!B:B,B118)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>
        <f>SUMIFS(Лист2!C:C,Лист2!A:A,A119,Лист2!B:B,B119)</f>
        <v>129</v>
      </c>
      <c r="F119">
        <f>SUMIFS(Лист2!D:D,Лист2!A:A,A119,Лист2!B:B,B119)</f>
        <v>14009</v>
      </c>
      <c r="G119">
        <f>SUMIFS(Лист2!E:E,Лист2!A:A,A119,Лист2!B:B,B119)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>
        <f>SUMIFS(Лист2!C:C,Лист2!A:A,A120,Лист2!B:B,B120)</f>
        <v>129</v>
      </c>
      <c r="F120">
        <f>SUMIFS(Лист2!D:D,Лист2!A:A,A120,Лист2!B:B,B120)</f>
        <v>16459</v>
      </c>
      <c r="G120">
        <f>SUMIFS(Лист2!E:E,Лист2!A:A,A120,Лист2!B:B,B120)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>
        <f>SUMIFS(Лист2!C:C,Лист2!A:A,A121,Лист2!B:B,B121)</f>
        <v>129</v>
      </c>
      <c r="F121">
        <f>SUMIFS(Лист2!D:D,Лист2!A:A,A121,Лист2!B:B,B121)</f>
        <v>17002</v>
      </c>
      <c r="G121">
        <f>SUMIFS(Лист2!E:E,Лист2!A:A,A121,Лист2!B:B,B121)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>
        <f>SUMIFS(Лист2!C:C,Лист2!A:A,A122,Лист2!B:B,B122)</f>
        <v>129</v>
      </c>
      <c r="F122">
        <f>SUMIFS(Лист2!D:D,Лист2!A:A,A122,Лист2!B:B,B122)</f>
        <v>16387</v>
      </c>
      <c r="G122">
        <f>SUMIFS(Лист2!E:E,Лист2!A:A,A122,Лист2!B:B,B122)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>
        <f>SUMIFS(Лист2!C:C,Лист2!A:A,A123,Лист2!B:B,B123)</f>
        <v>129</v>
      </c>
      <c r="F123">
        <f>SUMIFS(Лист2!D:D,Лист2!A:A,A123,Лист2!B:B,B123)</f>
        <v>16373</v>
      </c>
      <c r="G123">
        <f>SUMIFS(Лист2!E:E,Лист2!A:A,A123,Лист2!B:B,B123)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>
        <f>SUMIFS(Лист2!C:C,Лист2!A:A,A124,Лист2!B:B,B124)</f>
        <v>129</v>
      </c>
      <c r="F124">
        <f>SUMIFS(Лист2!D:D,Лист2!A:A,A124,Лист2!B:B,B124)</f>
        <v>17095</v>
      </c>
      <c r="G124">
        <f>SUMIFS(Лист2!E:E,Лист2!A:A,A124,Лист2!B:B,B124)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>
        <f>SUMIFS(Лист2!C:C,Лист2!A:A,A125,Лист2!B:B,B125)</f>
        <v>129</v>
      </c>
      <c r="F125">
        <f>SUMIFS(Лист2!D:D,Лист2!A:A,A125,Лист2!B:B,B125)</f>
        <v>15665</v>
      </c>
      <c r="G125">
        <f>SUMIFS(Лист2!E:E,Лист2!A:A,A125,Лист2!B:B,B125)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>
        <f>SUMIFS(Лист2!C:C,Лист2!A:A,A126,Лист2!B:B,B126)</f>
        <v>128</v>
      </c>
      <c r="F126">
        <f>SUMIFS(Лист2!D:D,Лист2!A:A,A126,Лист2!B:B,B126)</f>
        <v>16450</v>
      </c>
      <c r="G126">
        <f>SUMIFS(Лист2!E:E,Лист2!A:A,A126,Лист2!B:B,B126)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>
        <f>SUMIFS(Лист2!C:C,Лист2!A:A,A127,Лист2!B:B,B127)</f>
        <v>129</v>
      </c>
      <c r="F127">
        <f>SUMIFS(Лист2!D:D,Лист2!A:A,A127,Лист2!B:B,B127)</f>
        <v>15304</v>
      </c>
      <c r="G127">
        <f>SUMIFS(Лист2!E:E,Лист2!A:A,A127,Лист2!B:B,B127)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>
        <f>SUMIFS(Лист2!C:C,Лист2!A:A,A128,Лист2!B:B,B128)</f>
        <v>129</v>
      </c>
      <c r="F128">
        <f>SUMIFS(Лист2!D:D,Лист2!A:A,A128,Лист2!B:B,B128)</f>
        <v>15778</v>
      </c>
      <c r="G128">
        <f>SUMIFS(Лист2!E:E,Лист2!A:A,A128,Лист2!B:B,B128)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>
        <f>SUMIFS(Лист2!C:C,Лист2!A:A,A129,Лист2!B:B,B129)</f>
        <v>129</v>
      </c>
      <c r="F129">
        <f>SUMIFS(Лист2!D:D,Лист2!A:A,A129,Лист2!B:B,B129)</f>
        <v>16376</v>
      </c>
      <c r="G129">
        <f>SUMIFS(Лист2!E:E,Лист2!A:A,A129,Лист2!B:B,B129)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>
        <f>SUMIFS(Лист2!C:C,Лист2!A:A,A130,Лист2!B:B,B130)</f>
        <v>129</v>
      </c>
      <c r="F130">
        <f>SUMIFS(Лист2!D:D,Лист2!A:A,A130,Лист2!B:B,B130)</f>
        <v>19856</v>
      </c>
      <c r="G130">
        <f>SUMIFS(Лист2!E:E,Лист2!A:A,A130,Лист2!B:B,B130)</f>
        <v>18325</v>
      </c>
      <c r="H130">
        <f t="shared" si="2"/>
        <v>272123.46288023255</v>
      </c>
      <c r="I130">
        <f t="shared" si="3"/>
        <v>21</v>
      </c>
    </row>
    <row r="131" spans="1:9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>
        <f>SUMIFS(Лист2!C:C,Лист2!A:A,A131,Лист2!B:B,B131)</f>
        <v>129</v>
      </c>
      <c r="F131">
        <f>SUMIFS(Лист2!D:D,Лист2!A:A,A131,Лист2!B:B,B131)</f>
        <v>15822</v>
      </c>
      <c r="G131">
        <f>SUMIFS(Лист2!E:E,Лист2!A:A,A131,Лист2!B:B,B131)</f>
        <v>14753</v>
      </c>
      <c r="H131">
        <f t="shared" ref="H131:H194" si="4">D131/E131</f>
        <v>210588.47674418605</v>
      </c>
      <c r="I131">
        <f t="shared" ref="I131:I194" si="5">WEEKNUM(A131,21)</f>
        <v>22</v>
      </c>
    </row>
    <row r="132" spans="1:9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>
        <f>SUMIFS(Лист2!C:C,Лист2!A:A,A132,Лист2!B:B,B132)</f>
        <v>129</v>
      </c>
      <c r="F132">
        <f>SUMIFS(Лист2!D:D,Лист2!A:A,A132,Лист2!B:B,B132)</f>
        <v>18042</v>
      </c>
      <c r="G132">
        <f>SUMIFS(Лист2!E:E,Лист2!A:A,A132,Лист2!B:B,B132)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>
        <f>SUMIFS(Лист2!C:C,Лист2!A:A,A133,Лист2!B:B,B133)</f>
        <v>129</v>
      </c>
      <c r="F133">
        <f>SUMIFS(Лист2!D:D,Лист2!A:A,A133,Лист2!B:B,B133)</f>
        <v>16437</v>
      </c>
      <c r="G133">
        <f>SUMIFS(Лист2!E:E,Лист2!A:A,A133,Лист2!B:B,B133)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>
        <f>SUMIFS(Лист2!C:C,Лист2!A:A,A134,Лист2!B:B,B134)</f>
        <v>129</v>
      </c>
      <c r="F134">
        <f>SUMIFS(Лист2!D:D,Лист2!A:A,A134,Лист2!B:B,B134)</f>
        <v>20452</v>
      </c>
      <c r="G134">
        <f>SUMIFS(Лист2!E:E,Лист2!A:A,A134,Лист2!B:B,B134)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>
        <f>SUMIFS(Лист2!C:C,Лист2!A:A,A135,Лист2!B:B,B135)</f>
        <v>129</v>
      </c>
      <c r="F135">
        <f>SUMIFS(Лист2!D:D,Лист2!A:A,A135,Лист2!B:B,B135)</f>
        <v>14582</v>
      </c>
      <c r="G135">
        <f>SUMIFS(Лист2!E:E,Лист2!A:A,A135,Лист2!B:B,B135)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>
        <f>SUMIFS(Лист2!C:C,Лист2!A:A,A136,Лист2!B:B,B136)</f>
        <v>129</v>
      </c>
      <c r="F136">
        <f>SUMIFS(Лист2!D:D,Лист2!A:A,A136,Лист2!B:B,B136)</f>
        <v>16432</v>
      </c>
      <c r="G136">
        <f>SUMIFS(Лист2!E:E,Лист2!A:A,A136,Лист2!B:B,B136)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>
        <f>SUMIFS(Лист2!C:C,Лист2!A:A,A137,Лист2!B:B,B137)</f>
        <v>125</v>
      </c>
      <c r="F137">
        <f>SUMIFS(Лист2!D:D,Лист2!A:A,A137,Лист2!B:B,B137)</f>
        <v>22291</v>
      </c>
      <c r="G137">
        <f>SUMIFS(Лист2!E:E,Лист2!A:A,A137,Лист2!B:B,B137)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>
        <f>SUMIFS(Лист2!C:C,Лист2!A:A,A138,Лист2!B:B,B138)</f>
        <v>125</v>
      </c>
      <c r="F138">
        <f>SUMIFS(Лист2!D:D,Лист2!A:A,A138,Лист2!B:B,B138)</f>
        <v>20771</v>
      </c>
      <c r="G138">
        <f>SUMIFS(Лист2!E:E,Лист2!A:A,A138,Лист2!B:B,B138)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>
        <f>SUMIFS(Лист2!C:C,Лист2!A:A,A139,Лист2!B:B,B139)</f>
        <v>125</v>
      </c>
      <c r="F139">
        <f>SUMIFS(Лист2!D:D,Лист2!A:A,A139,Лист2!B:B,B139)</f>
        <v>20079</v>
      </c>
      <c r="G139">
        <f>SUMIFS(Лист2!E:E,Лист2!A:A,A139,Лист2!B:B,B139)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>
        <f>SUMIFS(Лист2!C:C,Лист2!A:A,A140,Лист2!B:B,B140)</f>
        <v>125</v>
      </c>
      <c r="F140">
        <f>SUMIFS(Лист2!D:D,Лист2!A:A,A140,Лист2!B:B,B140)</f>
        <v>20132</v>
      </c>
      <c r="G140">
        <f>SUMIFS(Лист2!E:E,Лист2!A:A,A140,Лист2!B:B,B140)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>
        <f>SUMIFS(Лист2!C:C,Лист2!A:A,A141,Лист2!B:B,B141)</f>
        <v>125</v>
      </c>
      <c r="F141">
        <f>SUMIFS(Лист2!D:D,Лист2!A:A,A141,Лист2!B:B,B141)</f>
        <v>20495</v>
      </c>
      <c r="G141">
        <f>SUMIFS(Лист2!E:E,Лист2!A:A,A141,Лист2!B:B,B141)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>
        <f>SUMIFS(Лист2!C:C,Лист2!A:A,A142,Лист2!B:B,B142)</f>
        <v>125</v>
      </c>
      <c r="F142">
        <f>SUMIFS(Лист2!D:D,Лист2!A:A,A142,Лист2!B:B,B142)</f>
        <v>21863</v>
      </c>
      <c r="G142">
        <f>SUMIFS(Лист2!E:E,Лист2!A:A,A142,Лист2!B:B,B142)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>
        <f>SUMIFS(Лист2!C:C,Лист2!A:A,A143,Лист2!B:B,B143)</f>
        <v>125</v>
      </c>
      <c r="F143">
        <f>SUMIFS(Лист2!D:D,Лист2!A:A,A143,Лист2!B:B,B143)</f>
        <v>16932</v>
      </c>
      <c r="G143">
        <f>SUMIFS(Лист2!E:E,Лист2!A:A,A143,Лист2!B:B,B143)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>
        <f>SUMIFS(Лист2!C:C,Лист2!A:A,A144,Лист2!B:B,B144)</f>
        <v>124</v>
      </c>
      <c r="F144">
        <f>SUMIFS(Лист2!D:D,Лист2!A:A,A144,Лист2!B:B,B144)</f>
        <v>21153</v>
      </c>
      <c r="G144">
        <f>SUMIFS(Лист2!E:E,Лист2!A:A,A144,Лист2!B:B,B144)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>
        <f>SUMIFS(Лист2!C:C,Лист2!A:A,A145,Лист2!B:B,B145)</f>
        <v>125</v>
      </c>
      <c r="F145">
        <f>SUMIFS(Лист2!D:D,Лист2!A:A,A145,Лист2!B:B,B145)</f>
        <v>20602</v>
      </c>
      <c r="G145">
        <f>SUMIFS(Лист2!E:E,Лист2!A:A,A145,Лист2!B:B,B145)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>
        <f>SUMIFS(Лист2!C:C,Лист2!A:A,A146,Лист2!B:B,B146)</f>
        <v>125</v>
      </c>
      <c r="F146">
        <f>SUMIFS(Лист2!D:D,Лист2!A:A,A146,Лист2!B:B,B146)</f>
        <v>21106</v>
      </c>
      <c r="G146">
        <f>SUMIFS(Лист2!E:E,Лист2!A:A,A146,Лист2!B:B,B146)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>
        <f>SUMIFS(Лист2!C:C,Лист2!A:A,A147,Лист2!B:B,B147)</f>
        <v>125</v>
      </c>
      <c r="F147">
        <f>SUMIFS(Лист2!D:D,Лист2!A:A,A147,Лист2!B:B,B147)</f>
        <v>20911</v>
      </c>
      <c r="G147">
        <f>SUMIFS(Лист2!E:E,Лист2!A:A,A147,Лист2!B:B,B147)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>
        <f>SUMIFS(Лист2!C:C,Лист2!A:A,A148,Лист2!B:B,B148)</f>
        <v>125</v>
      </c>
      <c r="F148">
        <f>SUMIFS(Лист2!D:D,Лист2!A:A,A148,Лист2!B:B,B148)</f>
        <v>21674</v>
      </c>
      <c r="G148">
        <f>SUMIFS(Лист2!E:E,Лист2!A:A,A148,Лист2!B:B,B148)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>
        <f>SUMIFS(Лист2!C:C,Лист2!A:A,A149,Лист2!B:B,B149)</f>
        <v>125</v>
      </c>
      <c r="F149">
        <f>SUMIFS(Лист2!D:D,Лист2!A:A,A149,Лист2!B:B,B149)</f>
        <v>18944</v>
      </c>
      <c r="G149">
        <f>SUMIFS(Лист2!E:E,Лист2!A:A,A149,Лист2!B:B,B149)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>
        <f>SUMIFS(Лист2!C:C,Лист2!A:A,A150,Лист2!B:B,B150)</f>
        <v>125</v>
      </c>
      <c r="F150">
        <f>SUMIFS(Лист2!D:D,Лист2!A:A,A150,Лист2!B:B,B150)</f>
        <v>20914</v>
      </c>
      <c r="G150">
        <f>SUMIFS(Лист2!E:E,Лист2!A:A,A150,Лист2!B:B,B150)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>
        <f>SUMIFS(Лист2!C:C,Лист2!A:A,A151,Лист2!B:B,B151)</f>
        <v>125</v>
      </c>
      <c r="F151">
        <f>SUMIFS(Лист2!D:D,Лист2!A:A,A151,Лист2!B:B,B151)</f>
        <v>19965</v>
      </c>
      <c r="G151">
        <f>SUMIFS(Лист2!E:E,Лист2!A:A,A151,Лист2!B:B,B151)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>
        <f>SUMIFS(Лист2!C:C,Лист2!A:A,A152,Лист2!B:B,B152)</f>
        <v>129</v>
      </c>
      <c r="F152">
        <f>SUMIFS(Лист2!D:D,Лист2!A:A,A152,Лист2!B:B,B152)</f>
        <v>17235</v>
      </c>
      <c r="G152">
        <f>SUMIFS(Лист2!E:E,Лист2!A:A,A152,Лист2!B:B,B152)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>
        <f>SUMIFS(Лист2!C:C,Лист2!A:A,A153,Лист2!B:B,B153)</f>
        <v>125</v>
      </c>
      <c r="F153">
        <f>SUMIFS(Лист2!D:D,Лист2!A:A,A153,Лист2!B:B,B153)</f>
        <v>18861</v>
      </c>
      <c r="G153">
        <f>SUMIFS(Лист2!E:E,Лист2!A:A,A153,Лист2!B:B,B153)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>
        <f>SUMIFS(Лист2!C:C,Лист2!A:A,A154,Лист2!B:B,B154)</f>
        <v>129</v>
      </c>
      <c r="F154">
        <f>SUMIFS(Лист2!D:D,Лист2!A:A,A154,Лист2!B:B,B154)</f>
        <v>20243</v>
      </c>
      <c r="G154">
        <f>SUMIFS(Лист2!E:E,Лист2!A:A,A154,Лист2!B:B,B154)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>
        <f>SUMIFS(Лист2!C:C,Лист2!A:A,A155,Лист2!B:B,B155)</f>
        <v>125</v>
      </c>
      <c r="F155">
        <f>SUMIFS(Лист2!D:D,Лист2!A:A,A155,Лист2!B:B,B155)</f>
        <v>20218</v>
      </c>
      <c r="G155">
        <f>SUMIFS(Лист2!E:E,Лист2!A:A,A155,Лист2!B:B,B155)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>
        <f>SUMIFS(Лист2!C:C,Лист2!A:A,A156,Лист2!B:B,B156)</f>
        <v>125</v>
      </c>
      <c r="F156">
        <f>SUMIFS(Лист2!D:D,Лист2!A:A,A156,Лист2!B:B,B156)</f>
        <v>24574</v>
      </c>
      <c r="G156">
        <f>SUMIFS(Лист2!E:E,Лист2!A:A,A156,Лист2!B:B,B156)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>
        <f>SUMIFS(Лист2!C:C,Лист2!A:A,A157,Лист2!B:B,B157)</f>
        <v>129</v>
      </c>
      <c r="F157">
        <f>SUMIFS(Лист2!D:D,Лист2!A:A,A157,Лист2!B:B,B157)</f>
        <v>16453</v>
      </c>
      <c r="G157">
        <f>SUMIFS(Лист2!E:E,Лист2!A:A,A157,Лист2!B:B,B157)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>
        <f>SUMIFS(Лист2!C:C,Лист2!A:A,A158,Лист2!B:B,B158)</f>
        <v>124</v>
      </c>
      <c r="F158">
        <f>SUMIFS(Лист2!D:D,Лист2!A:A,A158,Лист2!B:B,B158)</f>
        <v>20358</v>
      </c>
      <c r="G158">
        <f>SUMIFS(Лист2!E:E,Лист2!A:A,A158,Лист2!B:B,B158)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>
        <f>SUMIFS(Лист2!C:C,Лист2!A:A,A159,Лист2!B:B,B159)</f>
        <v>125</v>
      </c>
      <c r="F159">
        <f>SUMIFS(Лист2!D:D,Лист2!A:A,A159,Лист2!B:B,B159)</f>
        <v>22368</v>
      </c>
      <c r="G159">
        <f>SUMIFS(Лист2!E:E,Лист2!A:A,A159,Лист2!B:B,B159)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>
        <f>SUMIFS(Лист2!C:C,Лист2!A:A,A160,Лист2!B:B,B160)</f>
        <v>125</v>
      </c>
      <c r="F160">
        <f>SUMIFS(Лист2!D:D,Лист2!A:A,A160,Лист2!B:B,B160)</f>
        <v>20368</v>
      </c>
      <c r="G160">
        <f>SUMIFS(Лист2!E:E,Лист2!A:A,A160,Лист2!B:B,B160)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>
        <f>SUMIFS(Лист2!C:C,Лист2!A:A,A161,Лист2!B:B,B161)</f>
        <v>125</v>
      </c>
      <c r="F161">
        <f>SUMIFS(Лист2!D:D,Лист2!A:A,A161,Лист2!B:B,B161)</f>
        <v>24620</v>
      </c>
      <c r="G161">
        <f>SUMIFS(Лист2!E:E,Лист2!A:A,A161,Лист2!B:B,B161)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>
        <f>SUMIFS(Лист2!C:C,Лист2!A:A,A162,Лист2!B:B,B162)</f>
        <v>125</v>
      </c>
      <c r="F162">
        <f>SUMIFS(Лист2!D:D,Лист2!A:A,A162,Лист2!B:B,B162)</f>
        <v>18014</v>
      </c>
      <c r="G162">
        <f>SUMIFS(Лист2!E:E,Лист2!A:A,A162,Лист2!B:B,B162)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>
        <f>SUMIFS(Лист2!C:C,Лист2!A:A,A163,Лист2!B:B,B163)</f>
        <v>125</v>
      </c>
      <c r="F163">
        <f>SUMIFS(Лист2!D:D,Лист2!A:A,A163,Лист2!B:B,B163)</f>
        <v>21004</v>
      </c>
      <c r="G163">
        <f>SUMIFS(Лист2!E:E,Лист2!A:A,A163,Лист2!B:B,B163)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>
        <f>SUMIFS(Лист2!C:C,Лист2!A:A,A164,Лист2!B:B,B164)</f>
        <v>36</v>
      </c>
      <c r="F164">
        <f>SUMIFS(Лист2!D:D,Лист2!A:A,A164,Лист2!B:B,B164)</f>
        <v>5286</v>
      </c>
      <c r="G164">
        <f>SUMIFS(Лист2!E:E,Лист2!A:A,A164,Лист2!B:B,B164)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>
        <f>SUMIFS(Лист2!C:C,Лист2!A:A,A165,Лист2!B:B,B165)</f>
        <v>36</v>
      </c>
      <c r="F165">
        <f>SUMIFS(Лист2!D:D,Лист2!A:A,A165,Лист2!B:B,B165)</f>
        <v>5094</v>
      </c>
      <c r="G165">
        <f>SUMIFS(Лист2!E:E,Лист2!A:A,A165,Лист2!B:B,B165)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>
        <f>SUMIFS(Лист2!C:C,Лист2!A:A,A166,Лист2!B:B,B166)</f>
        <v>36</v>
      </c>
      <c r="F166">
        <f>SUMIFS(Лист2!D:D,Лист2!A:A,A166,Лист2!B:B,B166)</f>
        <v>4918</v>
      </c>
      <c r="G166">
        <f>SUMIFS(Лист2!E:E,Лист2!A:A,A166,Лист2!B:B,B166)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>
        <f>SUMIFS(Лист2!C:C,Лист2!A:A,A167,Лист2!B:B,B167)</f>
        <v>36</v>
      </c>
      <c r="F167">
        <f>SUMIFS(Лист2!D:D,Лист2!A:A,A167,Лист2!B:B,B167)</f>
        <v>5413</v>
      </c>
      <c r="G167">
        <f>SUMIFS(Лист2!E:E,Лист2!A:A,A167,Лист2!B:B,B167)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>
        <f>SUMIFS(Лист2!C:C,Лист2!A:A,A168,Лист2!B:B,B168)</f>
        <v>36</v>
      </c>
      <c r="F168">
        <f>SUMIFS(Лист2!D:D,Лист2!A:A,A168,Лист2!B:B,B168)</f>
        <v>4508</v>
      </c>
      <c r="G168">
        <f>SUMIFS(Лист2!E:E,Лист2!A:A,A168,Лист2!B:B,B168)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>
        <f>SUMIFS(Лист2!C:C,Лист2!A:A,A169,Лист2!B:B,B169)</f>
        <v>36</v>
      </c>
      <c r="F169">
        <f>SUMIFS(Лист2!D:D,Лист2!A:A,A169,Лист2!B:B,B169)</f>
        <v>4937</v>
      </c>
      <c r="G169">
        <f>SUMIFS(Лист2!E:E,Лист2!A:A,A169,Лист2!B:B,B169)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>
        <f>SUMIFS(Лист2!C:C,Лист2!A:A,A170,Лист2!B:B,B170)</f>
        <v>36</v>
      </c>
      <c r="F170">
        <f>SUMIFS(Лист2!D:D,Лист2!A:A,A170,Лист2!B:B,B170)</f>
        <v>3442</v>
      </c>
      <c r="G170">
        <f>SUMIFS(Лист2!E:E,Лист2!A:A,A170,Лист2!B:B,B170)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>
        <f>SUMIFS(Лист2!C:C,Лист2!A:A,A171,Лист2!B:B,B171)</f>
        <v>36</v>
      </c>
      <c r="F171">
        <f>SUMIFS(Лист2!D:D,Лист2!A:A,A171,Лист2!B:B,B171)</f>
        <v>4770</v>
      </c>
      <c r="G171">
        <f>SUMIFS(Лист2!E:E,Лист2!A:A,A171,Лист2!B:B,B171)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>
        <f>SUMIFS(Лист2!C:C,Лист2!A:A,A172,Лист2!B:B,B172)</f>
        <v>36</v>
      </c>
      <c r="F172">
        <f>SUMIFS(Лист2!D:D,Лист2!A:A,A172,Лист2!B:B,B172)</f>
        <v>5457</v>
      </c>
      <c r="G172">
        <f>SUMIFS(Лист2!E:E,Лист2!A:A,A172,Лист2!B:B,B172)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>
        <f>SUMIFS(Лист2!C:C,Лист2!A:A,A173,Лист2!B:B,B173)</f>
        <v>36</v>
      </c>
      <c r="F173">
        <f>SUMIFS(Лист2!D:D,Лист2!A:A,A173,Лист2!B:B,B173)</f>
        <v>4418</v>
      </c>
      <c r="G173">
        <f>SUMIFS(Лист2!E:E,Лист2!A:A,A173,Лист2!B:B,B173)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>
        <f>SUMIFS(Лист2!C:C,Лист2!A:A,A174,Лист2!B:B,B174)</f>
        <v>36</v>
      </c>
      <c r="F174">
        <f>SUMIFS(Лист2!D:D,Лист2!A:A,A174,Лист2!B:B,B174)</f>
        <v>4816</v>
      </c>
      <c r="G174">
        <f>SUMIFS(Лист2!E:E,Лист2!A:A,A174,Лист2!B:B,B174)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>
        <f>SUMIFS(Лист2!C:C,Лист2!A:A,A175,Лист2!B:B,B175)</f>
        <v>36</v>
      </c>
      <c r="F175">
        <f>SUMIFS(Лист2!D:D,Лист2!A:A,A175,Лист2!B:B,B175)</f>
        <v>5914</v>
      </c>
      <c r="G175">
        <f>SUMIFS(Лист2!E:E,Лист2!A:A,A175,Лист2!B:B,B175)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>
        <f>SUMIFS(Лист2!C:C,Лист2!A:A,A176,Лист2!B:B,B176)</f>
        <v>36</v>
      </c>
      <c r="F176">
        <f>SUMIFS(Лист2!D:D,Лист2!A:A,A176,Лист2!B:B,B176)</f>
        <v>4575</v>
      </c>
      <c r="G176">
        <f>SUMIFS(Лист2!E:E,Лист2!A:A,A176,Лист2!B:B,B176)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>
        <f>SUMIFS(Лист2!C:C,Лист2!A:A,A177,Лист2!B:B,B177)</f>
        <v>36</v>
      </c>
      <c r="F177">
        <f>SUMIFS(Лист2!D:D,Лист2!A:A,A177,Лист2!B:B,B177)</f>
        <v>4923</v>
      </c>
      <c r="G177">
        <f>SUMIFS(Лист2!E:E,Лист2!A:A,A177,Лист2!B:B,B177)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>
        <f>SUMIFS(Лист2!C:C,Лист2!A:A,A178,Лист2!B:B,B178)</f>
        <v>36</v>
      </c>
      <c r="F178">
        <f>SUMIFS(Лист2!D:D,Лист2!A:A,A178,Лист2!B:B,B178)</f>
        <v>4967</v>
      </c>
      <c r="G178">
        <f>SUMIFS(Лист2!E:E,Лист2!A:A,A178,Лист2!B:B,B178)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>
        <f>SUMIFS(Лист2!C:C,Лист2!A:A,A179,Лист2!B:B,B179)</f>
        <v>124</v>
      </c>
      <c r="F179">
        <f>SUMIFS(Лист2!D:D,Лист2!A:A,A179,Лист2!B:B,B179)</f>
        <v>21392</v>
      </c>
      <c r="G179">
        <f>SUMIFS(Лист2!E:E,Лист2!A:A,A179,Лист2!B:B,B179)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>
        <f>SUMIFS(Лист2!C:C,Лист2!A:A,A180,Лист2!B:B,B180)</f>
        <v>36</v>
      </c>
      <c r="F180">
        <f>SUMIFS(Лист2!D:D,Лист2!A:A,A180,Лист2!B:B,B180)</f>
        <v>4751</v>
      </c>
      <c r="G180">
        <f>SUMIFS(Лист2!E:E,Лист2!A:A,A180,Лист2!B:B,B180)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>
        <f>SUMIFS(Лист2!C:C,Лист2!A:A,A181,Лист2!B:B,B181)</f>
        <v>124</v>
      </c>
      <c r="F181">
        <f>SUMIFS(Лист2!D:D,Лист2!A:A,A181,Лист2!B:B,B181)</f>
        <v>24325</v>
      </c>
      <c r="G181">
        <f>SUMIFS(Лист2!E:E,Лист2!A:A,A181,Лист2!B:B,B181)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>
        <f>SUMIFS(Лист2!C:C,Лист2!A:A,A182,Лист2!B:B,B182)</f>
        <v>36</v>
      </c>
      <c r="F182">
        <f>SUMIFS(Лист2!D:D,Лист2!A:A,A182,Лист2!B:B,B182)</f>
        <v>4384</v>
      </c>
      <c r="G182">
        <f>SUMIFS(Лист2!E:E,Лист2!A:A,A182,Лист2!B:B,B182)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>
        <f>SUMIFS(Лист2!C:C,Лист2!A:A,A183,Лист2!B:B,B183)</f>
        <v>36</v>
      </c>
      <c r="F183">
        <f>SUMIFS(Лист2!D:D,Лист2!A:A,A183,Лист2!B:B,B183)</f>
        <v>5651</v>
      </c>
      <c r="G183">
        <f>SUMIFS(Лист2!E:E,Лист2!A:A,A183,Лист2!B:B,B183)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>
        <f>SUMIFS(Лист2!C:C,Лист2!A:A,A184,Лист2!B:B,B184)</f>
        <v>124</v>
      </c>
      <c r="F184">
        <f>SUMIFS(Лист2!D:D,Лист2!A:A,A184,Лист2!B:B,B184)</f>
        <v>20868</v>
      </c>
      <c r="G184">
        <f>SUMIFS(Лист2!E:E,Лист2!A:A,A184,Лист2!B:B,B184)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>
        <f>SUMIFS(Лист2!C:C,Лист2!A:A,A185,Лист2!B:B,B185)</f>
        <v>36</v>
      </c>
      <c r="F185">
        <f>SUMIFS(Лист2!D:D,Лист2!A:A,A185,Лист2!B:B,B185)</f>
        <v>4641</v>
      </c>
      <c r="G185">
        <f>SUMIFS(Лист2!E:E,Лист2!A:A,A185,Лист2!B:B,B185)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>
        <f>SUMIFS(Лист2!C:C,Лист2!A:A,A186,Лист2!B:B,B186)</f>
        <v>36</v>
      </c>
      <c r="F186">
        <f>SUMIFS(Лист2!D:D,Лист2!A:A,A186,Лист2!B:B,B186)</f>
        <v>5143</v>
      </c>
      <c r="G186">
        <f>SUMIFS(Лист2!E:E,Лист2!A:A,A186,Лист2!B:B,B186)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>
        <f>SUMIFS(Лист2!C:C,Лист2!A:A,A187,Лист2!B:B,B187)</f>
        <v>36</v>
      </c>
      <c r="F187">
        <f>SUMIFS(Лист2!D:D,Лист2!A:A,A187,Лист2!B:B,B187)</f>
        <v>5746</v>
      </c>
      <c r="G187">
        <f>SUMIFS(Лист2!E:E,Лист2!A:A,A187,Лист2!B:B,B187)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>
        <f>SUMIFS(Лист2!C:C,Лист2!A:A,A188,Лист2!B:B,B188)</f>
        <v>36</v>
      </c>
      <c r="F188">
        <f>SUMIFS(Лист2!D:D,Лист2!A:A,A188,Лист2!B:B,B188)</f>
        <v>4199</v>
      </c>
      <c r="G188">
        <f>SUMIFS(Лист2!E:E,Лист2!A:A,A188,Лист2!B:B,B188)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>
        <f>SUMIFS(Лист2!C:C,Лист2!A:A,A189,Лист2!B:B,B189)</f>
        <v>36</v>
      </c>
      <c r="F189">
        <f>SUMIFS(Лист2!D:D,Лист2!A:A,A189,Лист2!B:B,B189)</f>
        <v>4826</v>
      </c>
      <c r="G189">
        <f>SUMIFS(Лист2!E:E,Лист2!A:A,A189,Лист2!B:B,B189)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>
        <f>SUMIFS(Лист2!C:C,Лист2!A:A,A190,Лист2!B:B,B190)</f>
        <v>36</v>
      </c>
      <c r="F190">
        <f>SUMIFS(Лист2!D:D,Лист2!A:A,A190,Лист2!B:B,B190)</f>
        <v>4915</v>
      </c>
      <c r="G190">
        <f>SUMIFS(Лист2!E:E,Лист2!A:A,A190,Лист2!B:B,B190)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>
        <f>SUMIFS(Лист2!C:C,Лист2!A:A,A191,Лист2!B:B,B191)</f>
        <v>21</v>
      </c>
      <c r="F191">
        <f>SUMIFS(Лист2!D:D,Лист2!A:A,A191,Лист2!B:B,B191)</f>
        <v>2427</v>
      </c>
      <c r="G191">
        <f>SUMIFS(Лист2!E:E,Лист2!A:A,A191,Лист2!B:B,B191)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>
        <f>SUMIFS(Лист2!C:C,Лист2!A:A,A192,Лист2!B:B,B192)</f>
        <v>21</v>
      </c>
      <c r="F192">
        <f>SUMIFS(Лист2!D:D,Лист2!A:A,A192,Лист2!B:B,B192)</f>
        <v>2245</v>
      </c>
      <c r="G192">
        <f>SUMIFS(Лист2!E:E,Лист2!A:A,A192,Лист2!B:B,B192)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>
        <f>SUMIFS(Лист2!C:C,Лист2!A:A,A193,Лист2!B:B,B193)</f>
        <v>21</v>
      </c>
      <c r="F193">
        <f>SUMIFS(Лист2!D:D,Лист2!A:A,A193,Лист2!B:B,B193)</f>
        <v>2054</v>
      </c>
      <c r="G193">
        <f>SUMIFS(Лист2!E:E,Лист2!A:A,A193,Лист2!B:B,B193)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>
        <f>SUMIFS(Лист2!C:C,Лист2!A:A,A194,Лист2!B:B,B194)</f>
        <v>21</v>
      </c>
      <c r="F194">
        <f>SUMIFS(Лист2!D:D,Лист2!A:A,A194,Лист2!B:B,B194)</f>
        <v>1891</v>
      </c>
      <c r="G194">
        <f>SUMIFS(Лист2!E:E,Лист2!A:A,A194,Лист2!B:B,B194)</f>
        <v>1709</v>
      </c>
      <c r="H194">
        <f t="shared" si="4"/>
        <v>146899.64285714287</v>
      </c>
      <c r="I194">
        <f t="shared" si="5"/>
        <v>19</v>
      </c>
    </row>
    <row r="195" spans="1:9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>
        <f>SUMIFS(Лист2!C:C,Лист2!A:A,A195,Лист2!B:B,B195)</f>
        <v>20</v>
      </c>
      <c r="F195">
        <f>SUMIFS(Лист2!D:D,Лист2!A:A,A195,Лист2!B:B,B195)</f>
        <v>1804</v>
      </c>
      <c r="G195">
        <f>SUMIFS(Лист2!E:E,Лист2!A:A,A195,Лист2!B:B,B195)</f>
        <v>1638</v>
      </c>
      <c r="H195">
        <f t="shared" ref="H195:H258" si="6">D195/E195</f>
        <v>140892.67499999999</v>
      </c>
      <c r="I195">
        <f t="shared" ref="I195:I258" si="7">WEEKNUM(A195,21)</f>
        <v>19</v>
      </c>
    </row>
    <row r="196" spans="1:9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>
        <f>SUMIFS(Лист2!C:C,Лист2!A:A,A196,Лист2!B:B,B196)</f>
        <v>19</v>
      </c>
      <c r="F196">
        <f>SUMIFS(Лист2!D:D,Лист2!A:A,A196,Лист2!B:B,B196)</f>
        <v>1676</v>
      </c>
      <c r="G196">
        <f>SUMIFS(Лист2!E:E,Лист2!A:A,A196,Лист2!B:B,B196)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>
        <f>SUMIFS(Лист2!C:C,Лист2!A:A,A197,Лист2!B:B,B197)</f>
        <v>20</v>
      </c>
      <c r="F197">
        <f>SUMIFS(Лист2!D:D,Лист2!A:A,A197,Лист2!B:B,B197)</f>
        <v>1613</v>
      </c>
      <c r="G197">
        <f>SUMIFS(Лист2!E:E,Лист2!A:A,A197,Лист2!B:B,B197)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>
        <f>SUMIFS(Лист2!C:C,Лист2!A:A,A198,Лист2!B:B,B198)</f>
        <v>21</v>
      </c>
      <c r="F198">
        <f>SUMIFS(Лист2!D:D,Лист2!A:A,A198,Лист2!B:B,B198)</f>
        <v>2418</v>
      </c>
      <c r="G198">
        <f>SUMIFS(Лист2!E:E,Лист2!A:A,A198,Лист2!B:B,B198)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>
        <f>SUMIFS(Лист2!C:C,Лист2!A:A,A199,Лист2!B:B,B199)</f>
        <v>20</v>
      </c>
      <c r="F199">
        <f>SUMIFS(Лист2!D:D,Лист2!A:A,A199,Лист2!B:B,B199)</f>
        <v>2468</v>
      </c>
      <c r="G199">
        <f>SUMIFS(Лист2!E:E,Лист2!A:A,A199,Лист2!B:B,B199)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>
        <f>SUMIFS(Лист2!C:C,Лист2!A:A,A200,Лист2!B:B,B200)</f>
        <v>21</v>
      </c>
      <c r="F200">
        <f>SUMIFS(Лист2!D:D,Лист2!A:A,A200,Лист2!B:B,B200)</f>
        <v>1926</v>
      </c>
      <c r="G200">
        <f>SUMIFS(Лист2!E:E,Лист2!A:A,A200,Лист2!B:B,B200)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>
        <f>SUMIFS(Лист2!C:C,Лист2!A:A,A201,Лист2!B:B,B201)</f>
        <v>21</v>
      </c>
      <c r="F201">
        <f>SUMIFS(Лист2!D:D,Лист2!A:A,A201,Лист2!B:B,B201)</f>
        <v>2335</v>
      </c>
      <c r="G201">
        <f>SUMIFS(Лист2!E:E,Лист2!A:A,A201,Лист2!B:B,B201)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>
        <f>SUMIFS(Лист2!C:C,Лист2!A:A,A202,Лист2!B:B,B202)</f>
        <v>21</v>
      </c>
      <c r="F202">
        <f>SUMIFS(Лист2!D:D,Лист2!A:A,A202,Лист2!B:B,B202)</f>
        <v>2410</v>
      </c>
      <c r="G202">
        <f>SUMIFS(Лист2!E:E,Лист2!A:A,A202,Лист2!B:B,B202)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>
        <f>SUMIFS(Лист2!C:C,Лист2!A:A,A203,Лист2!B:B,B203)</f>
        <v>20</v>
      </c>
      <c r="F203">
        <f>SUMIFS(Лист2!D:D,Лист2!A:A,A203,Лист2!B:B,B203)</f>
        <v>1757</v>
      </c>
      <c r="G203">
        <f>SUMIFS(Лист2!E:E,Лист2!A:A,A203,Лист2!B:B,B203)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>
        <f>SUMIFS(Лист2!C:C,Лист2!A:A,A204,Лист2!B:B,B204)</f>
        <v>19</v>
      </c>
      <c r="F204">
        <f>SUMIFS(Лист2!D:D,Лист2!A:A,A204,Лист2!B:B,B204)</f>
        <v>1846</v>
      </c>
      <c r="G204">
        <f>SUMIFS(Лист2!E:E,Лист2!A:A,A204,Лист2!B:B,B204)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>
        <f>SUMIFS(Лист2!C:C,Лист2!A:A,A205,Лист2!B:B,B205)</f>
        <v>21</v>
      </c>
      <c r="F205">
        <f>SUMIFS(Лист2!D:D,Лист2!A:A,A205,Лист2!B:B,B205)</f>
        <v>2061</v>
      </c>
      <c r="G205">
        <f>SUMIFS(Лист2!E:E,Лист2!A:A,A205,Лист2!B:B,B205)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>
        <f>SUMIFS(Лист2!C:C,Лист2!A:A,A206,Лист2!B:B,B206)</f>
        <v>37</v>
      </c>
      <c r="F206">
        <f>SUMIFS(Лист2!D:D,Лист2!A:A,A206,Лист2!B:B,B206)</f>
        <v>5215</v>
      </c>
      <c r="G206">
        <f>SUMIFS(Лист2!E:E,Лист2!A:A,A206,Лист2!B:B,B206)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>
        <f>SUMIFS(Лист2!C:C,Лист2!A:A,A207,Лист2!B:B,B207)</f>
        <v>20</v>
      </c>
      <c r="F207">
        <f>SUMIFS(Лист2!D:D,Лист2!A:A,A207,Лист2!B:B,B207)</f>
        <v>1716</v>
      </c>
      <c r="G207">
        <f>SUMIFS(Лист2!E:E,Лист2!A:A,A207,Лист2!B:B,B207)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>
        <f>SUMIFS(Лист2!C:C,Лист2!A:A,A208,Лист2!B:B,B208)</f>
        <v>37</v>
      </c>
      <c r="F208">
        <f>SUMIFS(Лист2!D:D,Лист2!A:A,A208,Лист2!B:B,B208)</f>
        <v>6645</v>
      </c>
      <c r="G208">
        <f>SUMIFS(Лист2!E:E,Лист2!A:A,A208,Лист2!B:B,B208)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>
        <f>SUMIFS(Лист2!C:C,Лист2!A:A,A209,Лист2!B:B,B209)</f>
        <v>20</v>
      </c>
      <c r="F209">
        <f>SUMIFS(Лист2!D:D,Лист2!A:A,A209,Лист2!B:B,B209)</f>
        <v>1747</v>
      </c>
      <c r="G209">
        <f>SUMIFS(Лист2!E:E,Лист2!A:A,A209,Лист2!B:B,B209)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>
        <f>SUMIFS(Лист2!C:C,Лист2!A:A,A210,Лист2!B:B,B210)</f>
        <v>21</v>
      </c>
      <c r="F210">
        <f>SUMIFS(Лист2!D:D,Лист2!A:A,A210,Лист2!B:B,B210)</f>
        <v>2460</v>
      </c>
      <c r="G210">
        <f>SUMIFS(Лист2!E:E,Лист2!A:A,A210,Лист2!B:B,B210)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>
        <f>SUMIFS(Лист2!C:C,Лист2!A:A,A211,Лист2!B:B,B211)</f>
        <v>37</v>
      </c>
      <c r="F211">
        <f>SUMIFS(Лист2!D:D,Лист2!A:A,A211,Лист2!B:B,B211)</f>
        <v>4840</v>
      </c>
      <c r="G211">
        <f>SUMIFS(Лист2!E:E,Лист2!A:A,A211,Лист2!B:B,B211)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>
        <f>SUMIFS(Лист2!C:C,Лист2!A:A,A212,Лист2!B:B,B212)</f>
        <v>21</v>
      </c>
      <c r="F212">
        <f>SUMIFS(Лист2!D:D,Лист2!A:A,A212,Лист2!B:B,B212)</f>
        <v>2330</v>
      </c>
      <c r="G212">
        <f>SUMIFS(Лист2!E:E,Лист2!A:A,A212,Лист2!B:B,B212)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>
        <f>SUMIFS(Лист2!C:C,Лист2!A:A,A213,Лист2!B:B,B213)</f>
        <v>20</v>
      </c>
      <c r="F213">
        <f>SUMIFS(Лист2!D:D,Лист2!A:A,A213,Лист2!B:B,B213)</f>
        <v>1756</v>
      </c>
      <c r="G213">
        <f>SUMIFS(Лист2!E:E,Лист2!A:A,A213,Лист2!B:B,B213)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>
        <f>SUMIFS(Лист2!C:C,Лист2!A:A,A214,Лист2!B:B,B214)</f>
        <v>21</v>
      </c>
      <c r="F214">
        <f>SUMIFS(Лист2!D:D,Лист2!A:A,A214,Лист2!B:B,B214)</f>
        <v>2120</v>
      </c>
      <c r="G214">
        <f>SUMIFS(Лист2!E:E,Лист2!A:A,A214,Лист2!B:B,B214)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>
        <f>SUMIFS(Лист2!C:C,Лист2!A:A,A215,Лист2!B:B,B215)</f>
        <v>21</v>
      </c>
      <c r="F215">
        <f>SUMIFS(Лист2!D:D,Лист2!A:A,A215,Лист2!B:B,B215)</f>
        <v>1957</v>
      </c>
      <c r="G215">
        <f>SUMIFS(Лист2!E:E,Лист2!A:A,A215,Лист2!B:B,B215)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>
        <f>SUMIFS(Лист2!C:C,Лист2!A:A,A216,Лист2!B:B,B216)</f>
        <v>21</v>
      </c>
      <c r="F216">
        <f>SUMIFS(Лист2!D:D,Лист2!A:A,A216,Лист2!B:B,B216)</f>
        <v>1879</v>
      </c>
      <c r="G216">
        <f>SUMIFS(Лист2!E:E,Лист2!A:A,A216,Лист2!B:B,B216)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>
        <f>SUMIFS(Лист2!C:C,Лист2!A:A,A217,Лист2!B:B,B217)</f>
        <v>21</v>
      </c>
      <c r="F217">
        <f>SUMIFS(Лист2!D:D,Лист2!A:A,A217,Лист2!B:B,B217)</f>
        <v>2254</v>
      </c>
      <c r="G217">
        <f>SUMIFS(Лист2!E:E,Лист2!A:A,A217,Лист2!B:B,B217)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>
        <f>SUMIFS(Лист2!C:C,Лист2!A:A,A218,Лист2!B:B,B218)</f>
        <v>23</v>
      </c>
      <c r="F218">
        <f>SUMIFS(Лист2!D:D,Лист2!A:A,A218,Лист2!B:B,B218)</f>
        <v>2522</v>
      </c>
      <c r="G218">
        <f>SUMIFS(Лист2!E:E,Лист2!A:A,A218,Лист2!B:B,B218)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>
        <f>SUMIFS(Лист2!C:C,Лист2!A:A,A219,Лист2!B:B,B219)</f>
        <v>22</v>
      </c>
      <c r="F219">
        <f>SUMIFS(Лист2!D:D,Лист2!A:A,A219,Лист2!B:B,B219)</f>
        <v>2793</v>
      </c>
      <c r="G219">
        <f>SUMIFS(Лист2!E:E,Лист2!A:A,A219,Лист2!B:B,B219)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>
        <f>SUMIFS(Лист2!C:C,Лист2!A:A,A220,Лист2!B:B,B220)</f>
        <v>22</v>
      </c>
      <c r="F220">
        <f>SUMIFS(Лист2!D:D,Лист2!A:A,A220,Лист2!B:B,B220)</f>
        <v>2454</v>
      </c>
      <c r="G220">
        <f>SUMIFS(Лист2!E:E,Лист2!A:A,A220,Лист2!B:B,B220)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>
        <f>SUMIFS(Лист2!C:C,Лист2!A:A,A221,Лист2!B:B,B221)</f>
        <v>15</v>
      </c>
      <c r="F221">
        <f>SUMIFS(Лист2!D:D,Лист2!A:A,A221,Лист2!B:B,B221)</f>
        <v>1111</v>
      </c>
      <c r="G221">
        <f>SUMIFS(Лист2!E:E,Лист2!A:A,A221,Лист2!B:B,B221)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>
        <f>SUMIFS(Лист2!C:C,Лист2!A:A,A222,Лист2!B:B,B222)</f>
        <v>16</v>
      </c>
      <c r="F222">
        <f>SUMIFS(Лист2!D:D,Лист2!A:A,A222,Лист2!B:B,B222)</f>
        <v>1012</v>
      </c>
      <c r="G222">
        <f>SUMIFS(Лист2!E:E,Лист2!A:A,A222,Лист2!B:B,B222)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>
        <f>SUMIFS(Лист2!C:C,Лист2!A:A,A223,Лист2!B:B,B223)</f>
        <v>15</v>
      </c>
      <c r="F223">
        <f>SUMIFS(Лист2!D:D,Лист2!A:A,A223,Лист2!B:B,B223)</f>
        <v>971</v>
      </c>
      <c r="G223">
        <f>SUMIFS(Лист2!E:E,Лист2!A:A,A223,Лист2!B:B,B223)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>
        <f>SUMIFS(Лист2!C:C,Лист2!A:A,A224,Лист2!B:B,B224)</f>
        <v>15</v>
      </c>
      <c r="F224">
        <f>SUMIFS(Лист2!D:D,Лист2!A:A,A224,Лист2!B:B,B224)</f>
        <v>849</v>
      </c>
      <c r="G224">
        <f>SUMIFS(Лист2!E:E,Лист2!A:A,A224,Лист2!B:B,B224)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>
        <f>SUMIFS(Лист2!C:C,Лист2!A:A,A225,Лист2!B:B,B225)</f>
        <v>15</v>
      </c>
      <c r="F225">
        <f>SUMIFS(Лист2!D:D,Лист2!A:A,A225,Лист2!B:B,B225)</f>
        <v>750</v>
      </c>
      <c r="G225">
        <f>SUMIFS(Лист2!E:E,Лист2!A:A,A225,Лист2!B:B,B225)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>
        <f>SUMIFS(Лист2!C:C,Лист2!A:A,A226,Лист2!B:B,B226)</f>
        <v>15</v>
      </c>
      <c r="F226">
        <f>SUMIFS(Лист2!D:D,Лист2!A:A,A226,Лист2!B:B,B226)</f>
        <v>786</v>
      </c>
      <c r="G226">
        <f>SUMIFS(Лист2!E:E,Лист2!A:A,A226,Лист2!B:B,B226)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>
        <f>SUMIFS(Лист2!C:C,Лист2!A:A,A227,Лист2!B:B,B227)</f>
        <v>15</v>
      </c>
      <c r="F227">
        <f>SUMIFS(Лист2!D:D,Лист2!A:A,A227,Лист2!B:B,B227)</f>
        <v>751</v>
      </c>
      <c r="G227">
        <f>SUMIFS(Лист2!E:E,Лист2!A:A,A227,Лист2!B:B,B227)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>
        <f>SUMIFS(Лист2!C:C,Лист2!A:A,A228,Лист2!B:B,B228)</f>
        <v>17</v>
      </c>
      <c r="F228">
        <f>SUMIFS(Лист2!D:D,Лист2!A:A,A228,Лист2!B:B,B228)</f>
        <v>1140</v>
      </c>
      <c r="G228">
        <f>SUMIFS(Лист2!E:E,Лист2!A:A,A228,Лист2!B:B,B228)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>
        <f>SUMIFS(Лист2!C:C,Лист2!A:A,A229,Лист2!B:B,B229)</f>
        <v>15</v>
      </c>
      <c r="F229">
        <f>SUMIFS(Лист2!D:D,Лист2!A:A,A229,Лист2!B:B,B229)</f>
        <v>996</v>
      </c>
      <c r="G229">
        <f>SUMIFS(Лист2!E:E,Лист2!A:A,A229,Лист2!B:B,B229)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>
        <f>SUMIFS(Лист2!C:C,Лист2!A:A,A230,Лист2!B:B,B230)</f>
        <v>15</v>
      </c>
      <c r="F230">
        <f>SUMIFS(Лист2!D:D,Лист2!A:A,A230,Лист2!B:B,B230)</f>
        <v>845</v>
      </c>
      <c r="G230">
        <f>SUMIFS(Лист2!E:E,Лист2!A:A,A230,Лист2!B:B,B230)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>
        <f>SUMIFS(Лист2!C:C,Лист2!A:A,A231,Лист2!B:B,B231)</f>
        <v>17</v>
      </c>
      <c r="F231">
        <f>SUMIFS(Лист2!D:D,Лист2!A:A,A231,Лист2!B:B,B231)</f>
        <v>1045</v>
      </c>
      <c r="G231">
        <f>SUMIFS(Лист2!E:E,Лист2!A:A,A231,Лист2!B:B,B231)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>
        <f>SUMIFS(Лист2!C:C,Лист2!A:A,A232,Лист2!B:B,B232)</f>
        <v>16</v>
      </c>
      <c r="F232">
        <f>SUMIFS(Лист2!D:D,Лист2!A:A,A232,Лист2!B:B,B232)</f>
        <v>1050</v>
      </c>
      <c r="G232">
        <f>SUMIFS(Лист2!E:E,Лист2!A:A,A232,Лист2!B:B,B232)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>
        <f>SUMIFS(Лист2!C:C,Лист2!A:A,A233,Лист2!B:B,B233)</f>
        <v>15</v>
      </c>
      <c r="F233">
        <f>SUMIFS(Лист2!D:D,Лист2!A:A,A233,Лист2!B:B,B233)</f>
        <v>922</v>
      </c>
      <c r="G233">
        <f>SUMIFS(Лист2!E:E,Лист2!A:A,A233,Лист2!B:B,B233)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>
        <f>SUMIFS(Лист2!C:C,Лист2!A:A,A234,Лист2!B:B,B234)</f>
        <v>15</v>
      </c>
      <c r="F234">
        <f>SUMIFS(Лист2!D:D,Лист2!A:A,A234,Лист2!B:B,B234)</f>
        <v>780</v>
      </c>
      <c r="G234">
        <f>SUMIFS(Лист2!E:E,Лист2!A:A,A234,Лист2!B:B,B234)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>
        <f>SUMIFS(Лист2!C:C,Лист2!A:A,A235,Лист2!B:B,B235)</f>
        <v>15</v>
      </c>
      <c r="F235">
        <f>SUMIFS(Лист2!D:D,Лист2!A:A,A235,Лист2!B:B,B235)</f>
        <v>898</v>
      </c>
      <c r="G235">
        <f>SUMIFS(Лист2!E:E,Лист2!A:A,A235,Лист2!B:B,B235)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>
        <f>SUMIFS(Лист2!C:C,Лист2!A:A,A236,Лист2!B:B,B236)</f>
        <v>15</v>
      </c>
      <c r="F236">
        <f>SUMIFS(Лист2!D:D,Лист2!A:A,A236,Лист2!B:B,B236)</f>
        <v>784</v>
      </c>
      <c r="G236">
        <f>SUMIFS(Лист2!E:E,Лист2!A:A,A236,Лист2!B:B,B236)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>
        <f>SUMIFS(Лист2!C:C,Лист2!A:A,A237,Лист2!B:B,B237)</f>
        <v>15</v>
      </c>
      <c r="F237">
        <f>SUMIFS(Лист2!D:D,Лист2!A:A,A237,Лист2!B:B,B237)</f>
        <v>839</v>
      </c>
      <c r="G237">
        <f>SUMIFS(Лист2!E:E,Лист2!A:A,A237,Лист2!B:B,B237)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>
        <f>SUMIFS(Лист2!C:C,Лист2!A:A,A238,Лист2!B:B,B238)</f>
        <v>17</v>
      </c>
      <c r="F238">
        <f>SUMIFS(Лист2!D:D,Лист2!A:A,A238,Лист2!B:B,B238)</f>
        <v>1294</v>
      </c>
      <c r="G238">
        <f>SUMIFS(Лист2!E:E,Лист2!A:A,A238,Лист2!B:B,B238)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>
        <f>SUMIFS(Лист2!C:C,Лист2!A:A,A239,Лист2!B:B,B239)</f>
        <v>17</v>
      </c>
      <c r="F239">
        <f>SUMIFS(Лист2!D:D,Лист2!A:A,A239,Лист2!B:B,B239)</f>
        <v>1142</v>
      </c>
      <c r="G239">
        <f>SUMIFS(Лист2!E:E,Лист2!A:A,A239,Лист2!B:B,B239)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>
        <f>SUMIFS(Лист2!C:C,Лист2!A:A,A240,Лист2!B:B,B240)</f>
        <v>15</v>
      </c>
      <c r="F240">
        <f>SUMIFS(Лист2!D:D,Лист2!A:A,A240,Лист2!B:B,B240)</f>
        <v>791</v>
      </c>
      <c r="G240">
        <f>SUMIFS(Лист2!E:E,Лист2!A:A,A240,Лист2!B:B,B240)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>
        <f>SUMIFS(Лист2!C:C,Лист2!A:A,A241,Лист2!B:B,B241)</f>
        <v>15</v>
      </c>
      <c r="F241">
        <f>SUMIFS(Лист2!D:D,Лист2!A:A,A241,Лист2!B:B,B241)</f>
        <v>950</v>
      </c>
      <c r="G241">
        <f>SUMIFS(Лист2!E:E,Лист2!A:A,A241,Лист2!B:B,B241)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>
        <f>SUMIFS(Лист2!C:C,Лист2!A:A,A242,Лист2!B:B,B242)</f>
        <v>15</v>
      </c>
      <c r="F242">
        <f>SUMIFS(Лист2!D:D,Лист2!A:A,A242,Лист2!B:B,B242)</f>
        <v>879</v>
      </c>
      <c r="G242">
        <f>SUMIFS(Лист2!E:E,Лист2!A:A,A242,Лист2!B:B,B242)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>
        <f>SUMIFS(Лист2!C:C,Лист2!A:A,A243,Лист2!B:B,B243)</f>
        <v>15</v>
      </c>
      <c r="F243">
        <f>SUMIFS(Лист2!D:D,Лист2!A:A,A243,Лист2!B:B,B243)</f>
        <v>805</v>
      </c>
      <c r="G243">
        <f>SUMIFS(Лист2!E:E,Лист2!A:A,A243,Лист2!B:B,B243)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>
        <f>SUMIFS(Лист2!C:C,Лист2!A:A,A244,Лист2!B:B,B244)</f>
        <v>17</v>
      </c>
      <c r="F244">
        <f>SUMIFS(Лист2!D:D,Лист2!A:A,A244,Лист2!B:B,B244)</f>
        <v>1128</v>
      </c>
      <c r="G244">
        <f>SUMIFS(Лист2!E:E,Лист2!A:A,A244,Лист2!B:B,B244)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>
        <f>SUMIFS(Лист2!C:C,Лист2!A:A,A245,Лист2!B:B,B245)</f>
        <v>15</v>
      </c>
      <c r="F245">
        <f>SUMIFS(Лист2!D:D,Лист2!A:A,A245,Лист2!B:B,B245)</f>
        <v>747</v>
      </c>
      <c r="G245">
        <f>SUMIFS(Лист2!E:E,Лист2!A:A,A245,Лист2!B:B,B245)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>
        <f>SUMIFS(Лист2!C:C,Лист2!A:A,A246,Лист2!B:B,B246)</f>
        <v>15</v>
      </c>
      <c r="F246">
        <f>SUMIFS(Лист2!D:D,Лист2!A:A,A246,Лист2!B:B,B246)</f>
        <v>930</v>
      </c>
      <c r="G246">
        <f>SUMIFS(Лист2!E:E,Лист2!A:A,A246,Лист2!B:B,B246)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>
        <f>SUMIFS(Лист2!C:C,Лист2!A:A,A247,Лист2!B:B,B247)</f>
        <v>15</v>
      </c>
      <c r="F247">
        <f>SUMIFS(Лист2!D:D,Лист2!A:A,A247,Лист2!B:B,B247)</f>
        <v>692</v>
      </c>
      <c r="G247">
        <f>SUMIFS(Лист2!E:E,Лист2!A:A,A247,Лист2!B:B,B247)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>
        <f>SUMIFS(Лист2!C:C,Лист2!A:A,A248,Лист2!B:B,B248)</f>
        <v>15</v>
      </c>
      <c r="F248">
        <f>SUMIFS(Лист2!D:D,Лист2!A:A,A248,Лист2!B:B,B248)</f>
        <v>623</v>
      </c>
      <c r="G248">
        <f>SUMIFS(Лист2!E:E,Лист2!A:A,A248,Лист2!B:B,B248)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>
        <f>SUMIFS(Лист2!C:C,Лист2!A:A,A249,Лист2!B:B,B249)</f>
        <v>15</v>
      </c>
      <c r="F249">
        <f>SUMIFS(Лист2!D:D,Лист2!A:A,A249,Лист2!B:B,B249)</f>
        <v>390</v>
      </c>
      <c r="G249">
        <f>SUMIFS(Лист2!E:E,Лист2!A:A,A249,Лист2!B:B,B249)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>
        <f>SUMIFS(Лист2!C:C,Лист2!A:A,A250,Лист2!B:B,B250)</f>
        <v>18</v>
      </c>
      <c r="F250">
        <f>SUMIFS(Лист2!D:D,Лист2!A:A,A250,Лист2!B:B,B250)</f>
        <v>1599</v>
      </c>
      <c r="G250">
        <f>SUMIFS(Лист2!E:E,Лист2!A:A,A250,Лист2!B:B,B250)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>
        <f>SUMIFS(Лист2!C:C,Лист2!A:A,A251,Лист2!B:B,B251)</f>
        <v>15</v>
      </c>
      <c r="F251">
        <f>SUMIFS(Лист2!D:D,Лист2!A:A,A251,Лист2!B:B,B251)</f>
        <v>274</v>
      </c>
      <c r="G251">
        <f>SUMIFS(Лист2!E:E,Лист2!A:A,A251,Лист2!B:B,B251)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>
        <f>SUMIFS(Лист2!C:C,Лист2!A:A,A252,Лист2!B:B,B252)</f>
        <v>15</v>
      </c>
      <c r="F252">
        <f>SUMIFS(Лист2!D:D,Лист2!A:A,A252,Лист2!B:B,B252)</f>
        <v>812</v>
      </c>
      <c r="G252">
        <f>SUMIFS(Лист2!E:E,Лист2!A:A,A252,Лист2!B:B,B252)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>
        <f>SUMIFS(Лист2!C:C,Лист2!A:A,A253,Лист2!B:B,B253)</f>
        <v>15</v>
      </c>
      <c r="F253">
        <f>SUMIFS(Лист2!D:D,Лист2!A:A,A253,Лист2!B:B,B253)</f>
        <v>294</v>
      </c>
      <c r="G253">
        <f>SUMIFS(Лист2!E:E,Лист2!A:A,A253,Лист2!B:B,B253)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>
        <f>SUMIFS(Лист2!C:C,Лист2!A:A,A254,Лист2!B:B,B254)</f>
        <v>15</v>
      </c>
      <c r="F254">
        <f>SUMIFS(Лист2!D:D,Лист2!A:A,A254,Лист2!B:B,B254)</f>
        <v>624</v>
      </c>
      <c r="G254">
        <f>SUMIFS(Лист2!E:E,Лист2!A:A,A254,Лист2!B:B,B254)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>
        <f>SUMIFS(Лист2!C:C,Лист2!A:A,A255,Лист2!B:B,B255)</f>
        <v>15</v>
      </c>
      <c r="F255">
        <f>SUMIFS(Лист2!D:D,Лист2!A:A,A255,Лист2!B:B,B255)</f>
        <v>749</v>
      </c>
      <c r="G255">
        <f>SUMIFS(Лист2!E:E,Лист2!A:A,A255,Лист2!B:B,B255)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>
        <f>SUMIFS(Лист2!C:C,Лист2!A:A,A256,Лист2!B:B,B256)</f>
        <v>15</v>
      </c>
      <c r="F256">
        <f>SUMIFS(Лист2!D:D,Лист2!A:A,A256,Лист2!B:B,B256)</f>
        <v>760</v>
      </c>
      <c r="G256">
        <f>SUMIFS(Лист2!E:E,Лист2!A:A,A256,Лист2!B:B,B256)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>
        <f>SUMIFS(Лист2!C:C,Лист2!A:A,A257,Лист2!B:B,B257)</f>
        <v>15</v>
      </c>
      <c r="F257">
        <f>SUMIFS(Лист2!D:D,Лист2!A:A,A257,Лист2!B:B,B257)</f>
        <v>455</v>
      </c>
      <c r="G257">
        <f>SUMIFS(Лист2!E:E,Лист2!A:A,A257,Лист2!B:B,B257)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>
        <f>SUMIFS(Лист2!C:C,Лист2!A:A,A258,Лист2!B:B,B258)</f>
        <v>18</v>
      </c>
      <c r="F258">
        <f>SUMIFS(Лист2!D:D,Лист2!A:A,A258,Лист2!B:B,B258)</f>
        <v>1505</v>
      </c>
      <c r="G258">
        <f>SUMIFS(Лист2!E:E,Лист2!A:A,A258,Лист2!B:B,B258)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>
        <f>SUMIFS(Лист2!C:C,Лист2!A:A,A259,Лист2!B:B,B259)</f>
        <v>15</v>
      </c>
      <c r="F259">
        <f>SUMIFS(Лист2!D:D,Лист2!A:A,A259,Лист2!B:B,B259)</f>
        <v>599</v>
      </c>
      <c r="G259">
        <f>SUMIFS(Лист2!E:E,Лист2!A:A,A259,Лист2!B:B,B259)</f>
        <v>515</v>
      </c>
      <c r="H259">
        <f t="shared" ref="H259:H322" si="8">D259/E259</f>
        <v>63327.5</v>
      </c>
      <c r="I259">
        <f t="shared" ref="I259:I322" si="9">WEEKNUM(A259,21)</f>
        <v>20</v>
      </c>
    </row>
    <row r="260" spans="1:9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>
        <f>SUMIFS(Лист2!C:C,Лист2!A:A,A260,Лист2!B:B,B260)</f>
        <v>17</v>
      </c>
      <c r="F260">
        <f>SUMIFS(Лист2!D:D,Лист2!A:A,A260,Лист2!B:B,B260)</f>
        <v>1186</v>
      </c>
      <c r="G260">
        <f>SUMIFS(Лист2!E:E,Лист2!A:A,A260,Лист2!B:B,B260)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>
        <f>SUMIFS(Лист2!C:C,Лист2!A:A,A261,Лист2!B:B,B261)</f>
        <v>15</v>
      </c>
      <c r="F261">
        <f>SUMIFS(Лист2!D:D,Лист2!A:A,A261,Лист2!B:B,B261)</f>
        <v>455</v>
      </c>
      <c r="G261">
        <f>SUMIFS(Лист2!E:E,Лист2!A:A,A261,Лист2!B:B,B261)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>
        <f>SUMIFS(Лист2!C:C,Лист2!A:A,A262,Лист2!B:B,B262)</f>
        <v>17</v>
      </c>
      <c r="F262">
        <f>SUMIFS(Лист2!D:D,Лист2!A:A,A262,Лист2!B:B,B262)</f>
        <v>1697</v>
      </c>
      <c r="G262">
        <f>SUMIFS(Лист2!E:E,Лист2!A:A,A262,Лист2!B:B,B262)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>
        <f>SUMIFS(Лист2!C:C,Лист2!A:A,A263,Лист2!B:B,B263)</f>
        <v>15</v>
      </c>
      <c r="F263">
        <f>SUMIFS(Лист2!D:D,Лист2!A:A,A263,Лист2!B:B,B263)</f>
        <v>467</v>
      </c>
      <c r="G263">
        <f>SUMIFS(Лист2!E:E,Лист2!A:A,A263,Лист2!B:B,B263)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>
        <f>SUMIFS(Лист2!C:C,Лист2!A:A,A264,Лист2!B:B,B264)</f>
        <v>15</v>
      </c>
      <c r="F264">
        <f>SUMIFS(Лист2!D:D,Лист2!A:A,A264,Лист2!B:B,B264)</f>
        <v>840</v>
      </c>
      <c r="G264">
        <f>SUMIFS(Лист2!E:E,Лист2!A:A,A264,Лист2!B:B,B264)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>
        <f>SUMIFS(Лист2!C:C,Лист2!A:A,A265,Лист2!B:B,B265)</f>
        <v>17</v>
      </c>
      <c r="F265">
        <f>SUMIFS(Лист2!D:D,Лист2!A:A,A265,Лист2!B:B,B265)</f>
        <v>1097</v>
      </c>
      <c r="G265">
        <f>SUMIFS(Лист2!E:E,Лист2!A:A,A265,Лист2!B:B,B265)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>
        <f>SUMIFS(Лист2!C:C,Лист2!A:A,A266,Лист2!B:B,B266)</f>
        <v>15</v>
      </c>
      <c r="F266">
        <f>SUMIFS(Лист2!D:D,Лист2!A:A,A266,Лист2!B:B,B266)</f>
        <v>835</v>
      </c>
      <c r="G266">
        <f>SUMIFS(Лист2!E:E,Лист2!A:A,A266,Лист2!B:B,B266)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>
        <f>SUMIFS(Лист2!C:C,Лист2!A:A,A267,Лист2!B:B,B267)</f>
        <v>15</v>
      </c>
      <c r="F267">
        <f>SUMIFS(Лист2!D:D,Лист2!A:A,A267,Лист2!B:B,B267)</f>
        <v>262</v>
      </c>
      <c r="G267">
        <f>SUMIFS(Лист2!E:E,Лист2!A:A,A267,Лист2!B:B,B267)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>
        <f>SUMIFS(Лист2!C:C,Лист2!A:A,A268,Лист2!B:B,B268)</f>
        <v>15</v>
      </c>
      <c r="F268">
        <f>SUMIFS(Лист2!D:D,Лист2!A:A,A268,Лист2!B:B,B268)</f>
        <v>706</v>
      </c>
      <c r="G268">
        <f>SUMIFS(Лист2!E:E,Лист2!A:A,A268,Лист2!B:B,B268)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>
        <f>SUMIFS(Лист2!C:C,Лист2!A:A,A269,Лист2!B:B,B269)</f>
        <v>15</v>
      </c>
      <c r="F269">
        <f>SUMIFS(Лист2!D:D,Лист2!A:A,A269,Лист2!B:B,B269)</f>
        <v>492</v>
      </c>
      <c r="G269">
        <f>SUMIFS(Лист2!E:E,Лист2!A:A,A269,Лист2!B:B,B269)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>
        <f>SUMIFS(Лист2!C:C,Лист2!A:A,A270,Лист2!B:B,B270)</f>
        <v>15</v>
      </c>
      <c r="F270">
        <f>SUMIFS(Лист2!D:D,Лист2!A:A,A270,Лист2!B:B,B270)</f>
        <v>480</v>
      </c>
      <c r="G270">
        <f>SUMIFS(Лист2!E:E,Лист2!A:A,A270,Лист2!B:B,B270)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>
        <f>SUMIFS(Лист2!C:C,Лист2!A:A,A271,Лист2!B:B,B271)</f>
        <v>15</v>
      </c>
      <c r="F271">
        <f>SUMIFS(Лист2!D:D,Лист2!A:A,A271,Лист2!B:B,B271)</f>
        <v>779</v>
      </c>
      <c r="G271">
        <f>SUMIFS(Лист2!E:E,Лист2!A:A,A271,Лист2!B:B,B271)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>
        <f>SUMIFS(Лист2!C:C,Лист2!A:A,A272,Лист2!B:B,B272)</f>
        <v>19</v>
      </c>
      <c r="F272">
        <f>SUMIFS(Лист2!D:D,Лист2!A:A,A272,Лист2!B:B,B272)</f>
        <v>2039</v>
      </c>
      <c r="G272">
        <f>SUMIFS(Лист2!E:E,Лист2!A:A,A272,Лист2!B:B,B272)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>
        <f>SUMIFS(Лист2!C:C,Лист2!A:A,A273,Лист2!B:B,B273)</f>
        <v>19</v>
      </c>
      <c r="F273">
        <f>SUMIFS(Лист2!D:D,Лист2!A:A,A273,Лист2!B:B,B273)</f>
        <v>1831</v>
      </c>
      <c r="G273">
        <f>SUMIFS(Лист2!E:E,Лист2!A:A,A273,Лист2!B:B,B273)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>
        <f>SUMIFS(Лист2!C:C,Лист2!A:A,A274,Лист2!B:B,B274)</f>
        <v>19</v>
      </c>
      <c r="F274">
        <f>SUMIFS(Лист2!D:D,Лист2!A:A,A274,Лист2!B:B,B274)</f>
        <v>1790</v>
      </c>
      <c r="G274">
        <f>SUMIFS(Лист2!E:E,Лист2!A:A,A274,Лист2!B:B,B274)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>
        <f>SUMIFS(Лист2!C:C,Лист2!A:A,A275,Лист2!B:B,B275)</f>
        <v>19</v>
      </c>
      <c r="F275">
        <f>SUMIFS(Лист2!D:D,Лист2!A:A,A275,Лист2!B:B,B275)</f>
        <v>1542</v>
      </c>
      <c r="G275">
        <f>SUMIFS(Лист2!E:E,Лист2!A:A,A275,Лист2!B:B,B275)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>
        <f>SUMIFS(Лист2!C:C,Лист2!A:A,A276,Лист2!B:B,B276)</f>
        <v>19</v>
      </c>
      <c r="F276">
        <f>SUMIFS(Лист2!D:D,Лист2!A:A,A276,Лист2!B:B,B276)</f>
        <v>1479</v>
      </c>
      <c r="G276">
        <f>SUMIFS(Лист2!E:E,Лист2!A:A,A276,Лист2!B:B,B276)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>
        <f>SUMIFS(Лист2!C:C,Лист2!A:A,A277,Лист2!B:B,B277)</f>
        <v>19</v>
      </c>
      <c r="F277">
        <f>SUMIFS(Лист2!D:D,Лист2!A:A,A277,Лист2!B:B,B277)</f>
        <v>1206</v>
      </c>
      <c r="G277">
        <f>SUMIFS(Лист2!E:E,Лист2!A:A,A277,Лист2!B:B,B277)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>
        <f>SUMIFS(Лист2!C:C,Лист2!A:A,A278,Лист2!B:B,B278)</f>
        <v>20</v>
      </c>
      <c r="F278">
        <f>SUMIFS(Лист2!D:D,Лист2!A:A,A278,Лист2!B:B,B278)</f>
        <v>1814</v>
      </c>
      <c r="G278">
        <f>SUMIFS(Лист2!E:E,Лист2!A:A,A278,Лист2!B:B,B278)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>
        <f>SUMIFS(Лист2!C:C,Лист2!A:A,A279,Лист2!B:B,B279)</f>
        <v>19</v>
      </c>
      <c r="F279">
        <f>SUMIFS(Лист2!D:D,Лист2!A:A,A279,Лист2!B:B,B279)</f>
        <v>1987</v>
      </c>
      <c r="G279">
        <f>SUMIFS(Лист2!E:E,Лист2!A:A,A279,Лист2!B:B,B279)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>
        <f>SUMIFS(Лист2!C:C,Лист2!A:A,A280,Лист2!B:B,B280)</f>
        <v>19</v>
      </c>
      <c r="F280">
        <f>SUMIFS(Лист2!D:D,Лист2!A:A,A280,Лист2!B:B,B280)</f>
        <v>1598</v>
      </c>
      <c r="G280">
        <f>SUMIFS(Лист2!E:E,Лист2!A:A,A280,Лист2!B:B,B280)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>
        <f>SUMIFS(Лист2!C:C,Лист2!A:A,A281,Лист2!B:B,B281)</f>
        <v>19</v>
      </c>
      <c r="F281">
        <f>SUMIFS(Лист2!D:D,Лист2!A:A,A281,Лист2!B:B,B281)</f>
        <v>1650</v>
      </c>
      <c r="G281">
        <f>SUMIFS(Лист2!E:E,Лист2!A:A,A281,Лист2!B:B,B281)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>
        <f>SUMIFS(Лист2!C:C,Лист2!A:A,A282,Лист2!B:B,B282)</f>
        <v>19</v>
      </c>
      <c r="F282">
        <f>SUMIFS(Лист2!D:D,Лист2!A:A,A282,Лист2!B:B,B282)</f>
        <v>1823</v>
      </c>
      <c r="G282">
        <f>SUMIFS(Лист2!E:E,Лист2!A:A,A282,Лист2!B:B,B282)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>
        <f>SUMIFS(Лист2!C:C,Лист2!A:A,A283,Лист2!B:B,B283)</f>
        <v>19</v>
      </c>
      <c r="F283">
        <f>SUMIFS(Лист2!D:D,Лист2!A:A,A283,Лист2!B:B,B283)</f>
        <v>1622</v>
      </c>
      <c r="G283">
        <f>SUMIFS(Лист2!E:E,Лист2!A:A,A283,Лист2!B:B,B283)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>
        <f>SUMIFS(Лист2!C:C,Лист2!A:A,A284,Лист2!B:B,B284)</f>
        <v>19</v>
      </c>
      <c r="F284">
        <f>SUMIFS(Лист2!D:D,Лист2!A:A,A284,Лист2!B:B,B284)</f>
        <v>1605</v>
      </c>
      <c r="G284">
        <f>SUMIFS(Лист2!E:E,Лист2!A:A,A284,Лист2!B:B,B284)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>
        <f>SUMIFS(Лист2!C:C,Лист2!A:A,A285,Лист2!B:B,B285)</f>
        <v>16</v>
      </c>
      <c r="F285">
        <f>SUMIFS(Лист2!D:D,Лист2!A:A,A285,Лист2!B:B,B285)</f>
        <v>917</v>
      </c>
      <c r="G285">
        <f>SUMIFS(Лист2!E:E,Лист2!A:A,A285,Лист2!B:B,B285)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>
        <f>SUMIFS(Лист2!C:C,Лист2!A:A,A286,Лист2!B:B,B286)</f>
        <v>19</v>
      </c>
      <c r="F286">
        <f>SUMIFS(Лист2!D:D,Лист2!A:A,A286,Лист2!B:B,B286)</f>
        <v>1314</v>
      </c>
      <c r="G286">
        <f>SUMIFS(Лист2!E:E,Лист2!A:A,A286,Лист2!B:B,B286)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>
        <f>SUMIFS(Лист2!C:C,Лист2!A:A,A287,Лист2!B:B,B287)</f>
        <v>16</v>
      </c>
      <c r="F287">
        <f>SUMIFS(Лист2!D:D,Лист2!A:A,A287,Лист2!B:B,B287)</f>
        <v>1048</v>
      </c>
      <c r="G287">
        <f>SUMIFS(Лист2!E:E,Лист2!A:A,A287,Лист2!B:B,B287)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>
        <f>SUMIFS(Лист2!C:C,Лист2!A:A,A288,Лист2!B:B,B288)</f>
        <v>19</v>
      </c>
      <c r="F288">
        <f>SUMIFS(Лист2!D:D,Лист2!A:A,A288,Лист2!B:B,B288)</f>
        <v>1509</v>
      </c>
      <c r="G288">
        <f>SUMIFS(Лист2!E:E,Лист2!A:A,A288,Лист2!B:B,B288)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>
        <f>SUMIFS(Лист2!C:C,Лист2!A:A,A289,Лист2!B:B,B289)</f>
        <v>19</v>
      </c>
      <c r="F289">
        <f>SUMIFS(Лист2!D:D,Лист2!A:A,A289,Лист2!B:B,B289)</f>
        <v>2195</v>
      </c>
      <c r="G289">
        <f>SUMIFS(Лист2!E:E,Лист2!A:A,A289,Лист2!B:B,B289)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>
        <f>SUMIFS(Лист2!C:C,Лист2!A:A,A290,Лист2!B:B,B290)</f>
        <v>16</v>
      </c>
      <c r="F290">
        <f>SUMIFS(Лист2!D:D,Лист2!A:A,A290,Лист2!B:B,B290)</f>
        <v>876</v>
      </c>
      <c r="G290">
        <f>SUMIFS(Лист2!E:E,Лист2!A:A,A290,Лист2!B:B,B290)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>
        <f>SUMIFS(Лист2!C:C,Лист2!A:A,A291,Лист2!B:B,B291)</f>
        <v>20</v>
      </c>
      <c r="F291">
        <f>SUMIFS(Лист2!D:D,Лист2!A:A,A291,Лист2!B:B,B291)</f>
        <v>1899</v>
      </c>
      <c r="G291">
        <f>SUMIFS(Лист2!E:E,Лист2!A:A,A291,Лист2!B:B,B291)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>
        <f>SUMIFS(Лист2!C:C,Лист2!A:A,A292,Лист2!B:B,B292)</f>
        <v>19</v>
      </c>
      <c r="F292">
        <f>SUMIFS(Лист2!D:D,Лист2!A:A,A292,Лист2!B:B,B292)</f>
        <v>1662</v>
      </c>
      <c r="G292">
        <f>SUMIFS(Лист2!E:E,Лист2!A:A,A292,Лист2!B:B,B292)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>
        <f>SUMIFS(Лист2!C:C,Лист2!A:A,A293,Лист2!B:B,B293)</f>
        <v>19</v>
      </c>
      <c r="F293">
        <f>SUMIFS(Лист2!D:D,Лист2!A:A,A293,Лист2!B:B,B293)</f>
        <v>1836</v>
      </c>
      <c r="G293">
        <f>SUMIFS(Лист2!E:E,Лист2!A:A,A293,Лист2!B:B,B293)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>
        <f>SUMIFS(Лист2!C:C,Лист2!A:A,A294,Лист2!B:B,B294)</f>
        <v>19</v>
      </c>
      <c r="F294">
        <f>SUMIFS(Лист2!D:D,Лист2!A:A,A294,Лист2!B:B,B294)</f>
        <v>1520</v>
      </c>
      <c r="G294">
        <f>SUMIFS(Лист2!E:E,Лист2!A:A,A294,Лист2!B:B,B294)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>
        <f>SUMIFS(Лист2!C:C,Лист2!A:A,A295,Лист2!B:B,B295)</f>
        <v>19</v>
      </c>
      <c r="F295">
        <f>SUMIFS(Лист2!D:D,Лист2!A:A,A295,Лист2!B:B,B295)</f>
        <v>1580</v>
      </c>
      <c r="G295">
        <f>SUMIFS(Лист2!E:E,Лист2!A:A,A295,Лист2!B:B,B295)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>
        <f>SUMIFS(Лист2!C:C,Лист2!A:A,A296,Лист2!B:B,B296)</f>
        <v>19</v>
      </c>
      <c r="F296">
        <f>SUMIFS(Лист2!D:D,Лист2!A:A,A296,Лист2!B:B,B296)</f>
        <v>1868</v>
      </c>
      <c r="G296">
        <f>SUMIFS(Лист2!E:E,Лист2!A:A,A296,Лист2!B:B,B296)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>
        <f>SUMIFS(Лист2!C:C,Лист2!A:A,A297,Лист2!B:B,B297)</f>
        <v>59</v>
      </c>
      <c r="F297">
        <f>SUMIFS(Лист2!D:D,Лист2!A:A,A297,Лист2!B:B,B297)</f>
        <v>13186</v>
      </c>
      <c r="G297">
        <f>SUMIFS(Лист2!E:E,Лист2!A:A,A297,Лист2!B:B,B297)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>
        <f>SUMIFS(Лист2!C:C,Лист2!A:A,A298,Лист2!B:B,B298)</f>
        <v>59</v>
      </c>
      <c r="F298">
        <f>SUMIFS(Лист2!D:D,Лист2!A:A,A298,Лист2!B:B,B298)</f>
        <v>12943</v>
      </c>
      <c r="G298">
        <f>SUMIFS(Лист2!E:E,Лист2!A:A,A298,Лист2!B:B,B298)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>
        <f>SUMIFS(Лист2!C:C,Лист2!A:A,A299,Лист2!B:B,B299)</f>
        <v>21</v>
      </c>
      <c r="F299">
        <f>SUMIFS(Лист2!D:D,Лист2!A:A,A299,Лист2!B:B,B299)</f>
        <v>2056</v>
      </c>
      <c r="G299">
        <f>SUMIFS(Лист2!E:E,Лист2!A:A,A299,Лист2!B:B,B299)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>
        <f>SUMIFS(Лист2!C:C,Лист2!A:A,A300,Лист2!B:B,B300)</f>
        <v>20</v>
      </c>
      <c r="F300">
        <f>SUMIFS(Лист2!D:D,Лист2!A:A,A300,Лист2!B:B,B300)</f>
        <v>2174</v>
      </c>
      <c r="G300">
        <f>SUMIFS(Лист2!E:E,Лист2!A:A,A300,Лист2!B:B,B300)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>
        <f>SUMIFS(Лист2!C:C,Лист2!A:A,A301,Лист2!B:B,B301)</f>
        <v>20</v>
      </c>
      <c r="F301">
        <f>SUMIFS(Лист2!D:D,Лист2!A:A,A301,Лист2!B:B,B301)</f>
        <v>1875</v>
      </c>
      <c r="G301">
        <f>SUMIFS(Лист2!E:E,Лист2!A:A,A301,Лист2!B:B,B301)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>
        <f>SUMIFS(Лист2!C:C,Лист2!A:A,A302,Лист2!B:B,B302)</f>
        <v>60</v>
      </c>
      <c r="F302">
        <f>SUMIFS(Лист2!D:D,Лист2!A:A,A302,Лист2!B:B,B302)</f>
        <v>14049</v>
      </c>
      <c r="G302">
        <f>SUMIFS(Лист2!E:E,Лист2!A:A,A302,Лист2!B:B,B302)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>
        <f>SUMIFS(Лист2!C:C,Лист2!A:A,A303,Лист2!B:B,B303)</f>
        <v>60</v>
      </c>
      <c r="F303">
        <f>SUMIFS(Лист2!D:D,Лист2!A:A,A303,Лист2!B:B,B303)</f>
        <v>13867</v>
      </c>
      <c r="G303">
        <f>SUMIFS(Лист2!E:E,Лист2!A:A,A303,Лист2!B:B,B303)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>
        <f>SUMIFS(Лист2!C:C,Лист2!A:A,A304,Лист2!B:B,B304)</f>
        <v>60</v>
      </c>
      <c r="F304">
        <f>SUMIFS(Лист2!D:D,Лист2!A:A,A304,Лист2!B:B,B304)</f>
        <v>11698</v>
      </c>
      <c r="G304">
        <f>SUMIFS(Лист2!E:E,Лист2!A:A,A304,Лист2!B:B,B304)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>
        <f>SUMIFS(Лист2!C:C,Лист2!A:A,A305,Лист2!B:B,B305)</f>
        <v>59</v>
      </c>
      <c r="F305">
        <f>SUMIFS(Лист2!D:D,Лист2!A:A,A305,Лист2!B:B,B305)</f>
        <v>12016</v>
      </c>
      <c r="G305">
        <f>SUMIFS(Лист2!E:E,Лист2!A:A,A305,Лист2!B:B,B305)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>
        <f>SUMIFS(Лист2!C:C,Лист2!A:A,A306,Лист2!B:B,B306)</f>
        <v>59</v>
      </c>
      <c r="F306">
        <f>SUMIFS(Лист2!D:D,Лист2!A:A,A306,Лист2!B:B,B306)</f>
        <v>14423</v>
      </c>
      <c r="G306">
        <f>SUMIFS(Лист2!E:E,Лист2!A:A,A306,Лист2!B:B,B306)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>
        <f>SUMIFS(Лист2!C:C,Лист2!A:A,A307,Лист2!B:B,B307)</f>
        <v>54</v>
      </c>
      <c r="F307">
        <f>SUMIFS(Лист2!D:D,Лист2!A:A,A307,Лист2!B:B,B307)</f>
        <v>12747</v>
      </c>
      <c r="G307">
        <f>SUMIFS(Лист2!E:E,Лист2!A:A,A307,Лист2!B:B,B307)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>
        <f>SUMIFS(Лист2!C:C,Лист2!A:A,A308,Лист2!B:B,B308)</f>
        <v>59</v>
      </c>
      <c r="F308">
        <f>SUMIFS(Лист2!D:D,Лист2!A:A,A308,Лист2!B:B,B308)</f>
        <v>12429</v>
      </c>
      <c r="G308">
        <f>SUMIFS(Лист2!E:E,Лист2!A:A,A308,Лист2!B:B,B308)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>
        <f>SUMIFS(Лист2!C:C,Лист2!A:A,A309,Лист2!B:B,B309)</f>
        <v>59</v>
      </c>
      <c r="F309">
        <f>SUMIFS(Лист2!D:D,Лист2!A:A,A309,Лист2!B:B,B309)</f>
        <v>15369</v>
      </c>
      <c r="G309">
        <f>SUMIFS(Лист2!E:E,Лист2!A:A,A309,Лист2!B:B,B309)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>
        <f>SUMIFS(Лист2!C:C,Лист2!A:A,A310,Лист2!B:B,B310)</f>
        <v>59</v>
      </c>
      <c r="F310">
        <f>SUMIFS(Лист2!D:D,Лист2!A:A,A310,Лист2!B:B,B310)</f>
        <v>15222</v>
      </c>
      <c r="G310">
        <f>SUMIFS(Лист2!E:E,Лист2!A:A,A310,Лист2!B:B,B310)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>
        <f>SUMIFS(Лист2!C:C,Лист2!A:A,A311,Лист2!B:B,B311)</f>
        <v>60</v>
      </c>
      <c r="F311">
        <f>SUMIFS(Лист2!D:D,Лист2!A:A,A311,Лист2!B:B,B311)</f>
        <v>12000</v>
      </c>
      <c r="G311">
        <f>SUMIFS(Лист2!E:E,Лист2!A:A,A311,Лист2!B:B,B311)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>
        <f>SUMIFS(Лист2!C:C,Лист2!A:A,A312,Лист2!B:B,B312)</f>
        <v>60</v>
      </c>
      <c r="F312">
        <f>SUMIFS(Лист2!D:D,Лист2!A:A,A312,Лист2!B:B,B312)</f>
        <v>14005</v>
      </c>
      <c r="G312">
        <f>SUMIFS(Лист2!E:E,Лист2!A:A,A312,Лист2!B:B,B312)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>
        <f>SUMIFS(Лист2!C:C,Лист2!A:A,A313,Лист2!B:B,B313)</f>
        <v>60</v>
      </c>
      <c r="F313">
        <f>SUMIFS(Лист2!D:D,Лист2!A:A,A313,Лист2!B:B,B313)</f>
        <v>13792</v>
      </c>
      <c r="G313">
        <f>SUMIFS(Лист2!E:E,Лист2!A:A,A313,Лист2!B:B,B313)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>
        <f>SUMIFS(Лист2!C:C,Лист2!A:A,A314,Лист2!B:B,B314)</f>
        <v>59</v>
      </c>
      <c r="F314">
        <f>SUMIFS(Лист2!D:D,Лист2!A:A,A314,Лист2!B:B,B314)</f>
        <v>13469</v>
      </c>
      <c r="G314">
        <f>SUMIFS(Лист2!E:E,Лист2!A:A,A314,Лист2!B:B,B314)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>
        <f>SUMIFS(Лист2!C:C,Лист2!A:A,A315,Лист2!B:B,B315)</f>
        <v>54</v>
      </c>
      <c r="F315">
        <f>SUMIFS(Лист2!D:D,Лист2!A:A,A315,Лист2!B:B,B315)</f>
        <v>12306</v>
      </c>
      <c r="G315">
        <f>SUMIFS(Лист2!E:E,Лист2!A:A,A315,Лист2!B:B,B315)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>
        <f>SUMIFS(Лист2!C:C,Лист2!A:A,A316,Лист2!B:B,B316)</f>
        <v>60</v>
      </c>
      <c r="F316">
        <f>SUMIFS(Лист2!D:D,Лист2!A:A,A316,Лист2!B:B,B316)</f>
        <v>12007</v>
      </c>
      <c r="G316">
        <f>SUMIFS(Лист2!E:E,Лист2!A:A,A316,Лист2!B:B,B316)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>
        <f>SUMIFS(Лист2!C:C,Лист2!A:A,A317,Лист2!B:B,B317)</f>
        <v>59</v>
      </c>
      <c r="F317">
        <f>SUMIFS(Лист2!D:D,Лист2!A:A,A317,Лист2!B:B,B317)</f>
        <v>15277</v>
      </c>
      <c r="G317">
        <f>SUMIFS(Лист2!E:E,Лист2!A:A,A317,Лист2!B:B,B317)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>
        <f>SUMIFS(Лист2!C:C,Лист2!A:A,A318,Лист2!B:B,B318)</f>
        <v>59</v>
      </c>
      <c r="F318">
        <f>SUMIFS(Лист2!D:D,Лист2!A:A,A318,Лист2!B:B,B318)</f>
        <v>14103</v>
      </c>
      <c r="G318">
        <f>SUMIFS(Лист2!E:E,Лист2!A:A,A318,Лист2!B:B,B318)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>
        <f>SUMIFS(Лист2!C:C,Лист2!A:A,A319,Лист2!B:B,B319)</f>
        <v>60</v>
      </c>
      <c r="F319">
        <f>SUMIFS(Лист2!D:D,Лист2!A:A,A319,Лист2!B:B,B319)</f>
        <v>17295</v>
      </c>
      <c r="G319">
        <f>SUMIFS(Лист2!E:E,Лист2!A:A,A319,Лист2!B:B,B319)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>
        <f>SUMIFS(Лист2!C:C,Лист2!A:A,A320,Лист2!B:B,B320)</f>
        <v>59</v>
      </c>
      <c r="F320">
        <f>SUMIFS(Лист2!D:D,Лист2!A:A,A320,Лист2!B:B,B320)</f>
        <v>12983</v>
      </c>
      <c r="G320">
        <f>SUMIFS(Лист2!E:E,Лист2!A:A,A320,Лист2!B:B,B320)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>
        <f>SUMIFS(Лист2!C:C,Лист2!A:A,A321,Лист2!B:B,B321)</f>
        <v>59</v>
      </c>
      <c r="F321">
        <f>SUMIFS(Лист2!D:D,Лист2!A:A,A321,Лист2!B:B,B321)</f>
        <v>13251</v>
      </c>
      <c r="G321">
        <f>SUMIFS(Лист2!E:E,Лист2!A:A,A321,Лист2!B:B,B321)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>
        <f>SUMIFS(Лист2!C:C,Лист2!A:A,A322,Лист2!B:B,B322)</f>
        <v>59</v>
      </c>
      <c r="F322">
        <f>SUMIFS(Лист2!D:D,Лист2!A:A,A322,Лист2!B:B,B322)</f>
        <v>14569</v>
      </c>
      <c r="G322">
        <f>SUMIFS(Лист2!E:E,Лист2!A:A,A322,Лист2!B:B,B322)</f>
        <v>13566</v>
      </c>
      <c r="H322">
        <f t="shared" si="8"/>
        <v>421871.26271186443</v>
      </c>
      <c r="I322">
        <f t="shared" si="9"/>
        <v>19</v>
      </c>
    </row>
    <row r="323" spans="1:9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>
        <f>SUMIFS(Лист2!C:C,Лист2!A:A,A323,Лист2!B:B,B323)</f>
        <v>59</v>
      </c>
      <c r="F323">
        <f>SUMIFS(Лист2!D:D,Лист2!A:A,A323,Лист2!B:B,B323)</f>
        <v>14098</v>
      </c>
      <c r="G323">
        <f>SUMIFS(Лист2!E:E,Лист2!A:A,A323,Лист2!B:B,B323)</f>
        <v>13106</v>
      </c>
      <c r="H323">
        <f t="shared" ref="H323:H386" si="10">D323/E323</f>
        <v>404778.78813559323</v>
      </c>
      <c r="I323">
        <f t="shared" ref="I323:I386" si="11">WEEKNUM(A323,21)</f>
        <v>19</v>
      </c>
    </row>
    <row r="324" spans="1:9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>
        <f>SUMIFS(Лист2!C:C,Лист2!A:A,A324,Лист2!B:B,B324)</f>
        <v>59</v>
      </c>
      <c r="F324">
        <f>SUMIFS(Лист2!D:D,Лист2!A:A,A324,Лист2!B:B,B324)</f>
        <v>13495</v>
      </c>
      <c r="G324">
        <f>SUMIFS(Лист2!E:E,Лист2!A:A,A324,Лист2!B:B,B324)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>
        <f>SUMIFS(Лист2!C:C,Лист2!A:A,A325,Лист2!B:B,B325)</f>
        <v>60</v>
      </c>
      <c r="F325">
        <f>SUMIFS(Лист2!D:D,Лист2!A:A,A325,Лист2!B:B,B325)</f>
        <v>12822</v>
      </c>
      <c r="G325">
        <f>SUMIFS(Лист2!E:E,Лист2!A:A,A325,Лист2!B:B,B325)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>
        <f>SUMIFS(Лист2!C:C,Лист2!A:A,A326,Лист2!B:B,B326)</f>
        <v>54</v>
      </c>
      <c r="F326">
        <f>SUMIFS(Лист2!D:D,Лист2!A:A,A326,Лист2!B:B,B326)</f>
        <v>13170</v>
      </c>
      <c r="G326">
        <f>SUMIFS(Лист2!E:E,Лист2!A:A,A326,Лист2!B:B,B326)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>
        <f>SUMIFS(Лист2!C:C,Лист2!A:A,A327,Лист2!B:B,B327)</f>
        <v>54</v>
      </c>
      <c r="F327">
        <f>SUMIFS(Лист2!D:D,Лист2!A:A,A327,Лист2!B:B,B327)</f>
        <v>13070</v>
      </c>
      <c r="G327">
        <f>SUMIFS(Лист2!E:E,Лист2!A:A,A327,Лист2!B:B,B327)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>
        <f>SUMIFS(Лист2!C:C,Лист2!A:A,A328,Лист2!B:B,B328)</f>
        <v>54</v>
      </c>
      <c r="F328">
        <f>SUMIFS(Лист2!D:D,Лист2!A:A,A328,Лист2!B:B,B328)</f>
        <v>11128</v>
      </c>
      <c r="G328">
        <f>SUMIFS(Лист2!E:E,Лист2!A:A,A328,Лист2!B:B,B328)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>
        <f>SUMIFS(Лист2!C:C,Лист2!A:A,A329,Лист2!B:B,B329)</f>
        <v>54</v>
      </c>
      <c r="F329">
        <f>SUMIFS(Лист2!D:D,Лист2!A:A,A329,Лист2!B:B,B329)</f>
        <v>11288</v>
      </c>
      <c r="G329">
        <f>SUMIFS(Лист2!E:E,Лист2!A:A,A329,Лист2!B:B,B329)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>
        <f>SUMIFS(Лист2!C:C,Лист2!A:A,A330,Лист2!B:B,B330)</f>
        <v>54</v>
      </c>
      <c r="F330">
        <f>SUMIFS(Лист2!D:D,Лист2!A:A,A330,Лист2!B:B,B330)</f>
        <v>13606</v>
      </c>
      <c r="G330">
        <f>SUMIFS(Лист2!E:E,Лист2!A:A,A330,Лист2!B:B,B330)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>
        <f>SUMIFS(Лист2!C:C,Лист2!A:A,A331,Лист2!B:B,B331)</f>
        <v>54</v>
      </c>
      <c r="F331">
        <f>SUMIFS(Лист2!D:D,Лист2!A:A,A331,Лист2!B:B,B331)</f>
        <v>11622</v>
      </c>
      <c r="G331">
        <f>SUMIFS(Лист2!E:E,Лист2!A:A,A331,Лист2!B:B,B331)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>
        <f>SUMIFS(Лист2!C:C,Лист2!A:A,A332,Лист2!B:B,B332)</f>
        <v>54</v>
      </c>
      <c r="F332">
        <f>SUMIFS(Лист2!D:D,Лист2!A:A,A332,Лист2!B:B,B332)</f>
        <v>14482</v>
      </c>
      <c r="G332">
        <f>SUMIFS(Лист2!E:E,Лист2!A:A,A332,Лист2!B:B,B332)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>
        <f>SUMIFS(Лист2!C:C,Лист2!A:A,A333,Лист2!B:B,B333)</f>
        <v>54</v>
      </c>
      <c r="F333">
        <f>SUMIFS(Лист2!D:D,Лист2!A:A,A333,Лист2!B:B,B333)</f>
        <v>14205</v>
      </c>
      <c r="G333">
        <f>SUMIFS(Лист2!E:E,Лист2!A:A,A333,Лист2!B:B,B333)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>
        <f>SUMIFS(Лист2!C:C,Лист2!A:A,A334,Лист2!B:B,B334)</f>
        <v>54</v>
      </c>
      <c r="F334">
        <f>SUMIFS(Лист2!D:D,Лист2!A:A,A334,Лист2!B:B,B334)</f>
        <v>11614</v>
      </c>
      <c r="G334">
        <f>SUMIFS(Лист2!E:E,Лист2!A:A,A334,Лист2!B:B,B334)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>
        <f>SUMIFS(Лист2!C:C,Лист2!A:A,A335,Лист2!B:B,B335)</f>
        <v>54</v>
      </c>
      <c r="F335">
        <f>SUMIFS(Лист2!D:D,Лист2!A:A,A335,Лист2!B:B,B335)</f>
        <v>13240</v>
      </c>
      <c r="G335">
        <f>SUMIFS(Лист2!E:E,Лист2!A:A,A335,Лист2!B:B,B335)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>
        <f>SUMIFS(Лист2!C:C,Лист2!A:A,A336,Лист2!B:B,B336)</f>
        <v>54</v>
      </c>
      <c r="F336">
        <f>SUMIFS(Лист2!D:D,Лист2!A:A,A336,Лист2!B:B,B336)</f>
        <v>13298</v>
      </c>
      <c r="G336">
        <f>SUMIFS(Лист2!E:E,Лист2!A:A,A336,Лист2!B:B,B336)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>
        <f>SUMIFS(Лист2!C:C,Лист2!A:A,A337,Лист2!B:B,B337)</f>
        <v>54</v>
      </c>
      <c r="F337">
        <f>SUMIFS(Лист2!D:D,Лист2!A:A,A337,Лист2!B:B,B337)</f>
        <v>12775</v>
      </c>
      <c r="G337">
        <f>SUMIFS(Лист2!E:E,Лист2!A:A,A337,Лист2!B:B,B337)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>
        <f>SUMIFS(Лист2!C:C,Лист2!A:A,A338,Лист2!B:B,B338)</f>
        <v>54</v>
      </c>
      <c r="F338">
        <f>SUMIFS(Лист2!D:D,Лист2!A:A,A338,Лист2!B:B,B338)</f>
        <v>11522</v>
      </c>
      <c r="G338">
        <f>SUMIFS(Лист2!E:E,Лист2!A:A,A338,Лист2!B:B,B338)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>
        <f>SUMIFS(Лист2!C:C,Лист2!A:A,A339,Лист2!B:B,B339)</f>
        <v>59</v>
      </c>
      <c r="F339">
        <f>SUMIFS(Лист2!D:D,Лист2!A:A,A339,Лист2!B:B,B339)</f>
        <v>13684</v>
      </c>
      <c r="G339">
        <f>SUMIFS(Лист2!E:E,Лист2!A:A,A339,Лист2!B:B,B339)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>
        <f>SUMIFS(Лист2!C:C,Лист2!A:A,A340,Лист2!B:B,B340)</f>
        <v>54</v>
      </c>
      <c r="F340">
        <f>SUMIFS(Лист2!D:D,Лист2!A:A,A340,Лист2!B:B,B340)</f>
        <v>14823</v>
      </c>
      <c r="G340">
        <f>SUMIFS(Лист2!E:E,Лист2!A:A,A340,Лист2!B:B,B340)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>
        <f>SUMIFS(Лист2!C:C,Лист2!A:A,A341,Лист2!B:B,B341)</f>
        <v>59</v>
      </c>
      <c r="F341">
        <f>SUMIFS(Лист2!D:D,Лист2!A:A,A341,Лист2!B:B,B341)</f>
        <v>15030</v>
      </c>
      <c r="G341">
        <f>SUMIFS(Лист2!E:E,Лист2!A:A,A341,Лист2!B:B,B341)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>
        <f>SUMIFS(Лист2!C:C,Лист2!A:A,A342,Лист2!B:B,B342)</f>
        <v>54</v>
      </c>
      <c r="F342">
        <f>SUMIFS(Лист2!D:D,Лист2!A:A,A342,Лист2!B:B,B342)</f>
        <v>13406</v>
      </c>
      <c r="G342">
        <f>SUMIFS(Лист2!E:E,Лист2!A:A,A342,Лист2!B:B,B342)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>
        <f>SUMIFS(Лист2!C:C,Лист2!A:A,A343,Лист2!B:B,B343)</f>
        <v>54</v>
      </c>
      <c r="F343">
        <f>SUMIFS(Лист2!D:D,Лист2!A:A,A343,Лист2!B:B,B343)</f>
        <v>16221</v>
      </c>
      <c r="G343">
        <f>SUMIFS(Лист2!E:E,Лист2!A:A,A343,Лист2!B:B,B343)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>
        <f>SUMIFS(Лист2!C:C,Лист2!A:A,A344,Лист2!B:B,B344)</f>
        <v>60</v>
      </c>
      <c r="F344">
        <f>SUMIFS(Лист2!D:D,Лист2!A:A,A344,Лист2!B:B,B344)</f>
        <v>12854</v>
      </c>
      <c r="G344">
        <f>SUMIFS(Лист2!E:E,Лист2!A:A,A344,Лист2!B:B,B344)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>
        <f>SUMIFS(Лист2!C:C,Лист2!A:A,A345,Лист2!B:B,B345)</f>
        <v>54</v>
      </c>
      <c r="F345">
        <f>SUMIFS(Лист2!D:D,Лист2!A:A,A345,Лист2!B:B,B345)</f>
        <v>12336</v>
      </c>
      <c r="G345">
        <f>SUMIFS(Лист2!E:E,Лист2!A:A,A345,Лист2!B:B,B345)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>
        <f>SUMIFS(Лист2!C:C,Лист2!A:A,A346,Лист2!B:B,B346)</f>
        <v>54</v>
      </c>
      <c r="F346">
        <f>SUMIFS(Лист2!D:D,Лист2!A:A,A346,Лист2!B:B,B346)</f>
        <v>12817</v>
      </c>
      <c r="G346">
        <f>SUMIFS(Лист2!E:E,Лист2!A:A,A346,Лист2!B:B,B346)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>
        <f>SUMIFS(Лист2!C:C,Лист2!A:A,A347,Лист2!B:B,B347)</f>
        <v>54</v>
      </c>
      <c r="F347">
        <f>SUMIFS(Лист2!D:D,Лист2!A:A,A347,Лист2!B:B,B347)</f>
        <v>13832</v>
      </c>
      <c r="G347">
        <f>SUMIFS(Лист2!E:E,Лист2!A:A,A347,Лист2!B:B,B347)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>
        <f>SUMIFS(Лист2!C:C,Лист2!A:A,A348,Лист2!B:B,B348)</f>
        <v>54</v>
      </c>
      <c r="F348">
        <f>SUMIFS(Лист2!D:D,Лист2!A:A,A348,Лист2!B:B,B348)</f>
        <v>13563</v>
      </c>
      <c r="G348">
        <f>SUMIFS(Лист2!E:E,Лист2!A:A,A348,Лист2!B:B,B348)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>
        <f>SUMIFS(Лист2!C:C,Лист2!A:A,A349,Лист2!B:B,B349)</f>
        <v>54</v>
      </c>
      <c r="F349">
        <f>SUMIFS(Лист2!D:D,Лист2!A:A,A349,Лист2!B:B,B349)</f>
        <v>12743</v>
      </c>
      <c r="G349">
        <f>SUMIFS(Лист2!E:E,Лист2!A:A,A349,Лист2!B:B,B349)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>
        <f>SUMIFS(Лист2!C:C,Лист2!A:A,A350,Лист2!B:B,B350)</f>
        <v>54</v>
      </c>
      <c r="F350">
        <f>SUMIFS(Лист2!D:D,Лист2!A:A,A350,Лист2!B:B,B350)</f>
        <v>12211</v>
      </c>
      <c r="G350">
        <f>SUMIFS(Лист2!E:E,Лист2!A:A,A350,Лист2!B:B,B350)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>
        <f>SUMIFS(Лист2!C:C,Лист2!A:A,A351,Лист2!B:B,B351)</f>
        <v>15</v>
      </c>
      <c r="F351">
        <f>SUMIFS(Лист2!D:D,Лист2!A:A,A351,Лист2!B:B,B351)</f>
        <v>659</v>
      </c>
      <c r="G351">
        <f>SUMIFS(Лист2!E:E,Лист2!A:A,A351,Лист2!B:B,B351)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>
        <f>SUMIFS(Лист2!C:C,Лист2!A:A,A352,Лист2!B:B,B352)</f>
        <v>15</v>
      </c>
      <c r="F352">
        <f>SUMIFS(Лист2!D:D,Лист2!A:A,A352,Лист2!B:B,B352)</f>
        <v>636</v>
      </c>
      <c r="G352">
        <f>SUMIFS(Лист2!E:E,Лист2!A:A,A352,Лист2!B:B,B352)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>
        <f>SUMIFS(Лист2!C:C,Лист2!A:A,A353,Лист2!B:B,B353)</f>
        <v>54</v>
      </c>
      <c r="F353">
        <f>SUMIFS(Лист2!D:D,Лист2!A:A,A353,Лист2!B:B,B353)</f>
        <v>13106</v>
      </c>
      <c r="G353">
        <f>SUMIFS(Лист2!E:E,Лист2!A:A,A353,Лист2!B:B,B353)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>
        <f>SUMIFS(Лист2!C:C,Лист2!A:A,A354,Лист2!B:B,B354)</f>
        <v>54</v>
      </c>
      <c r="F354">
        <f>SUMIFS(Лист2!D:D,Лист2!A:A,A354,Лист2!B:B,B354)</f>
        <v>14590</v>
      </c>
      <c r="G354">
        <f>SUMIFS(Лист2!E:E,Лист2!A:A,A354,Лист2!B:B,B354)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>
        <f>SUMIFS(Лист2!C:C,Лист2!A:A,A355,Лист2!B:B,B355)</f>
        <v>54</v>
      </c>
      <c r="F355">
        <f>SUMIFS(Лист2!D:D,Лист2!A:A,A355,Лист2!B:B,B355)</f>
        <v>12409</v>
      </c>
      <c r="G355">
        <f>SUMIFS(Лист2!E:E,Лист2!A:A,A355,Лист2!B:B,B355)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>
        <f>SUMIFS(Лист2!C:C,Лист2!A:A,A356,Лист2!B:B,B356)</f>
        <v>16</v>
      </c>
      <c r="F356">
        <f>SUMIFS(Лист2!D:D,Лист2!A:A,A356,Лист2!B:B,B356)</f>
        <v>920</v>
      </c>
      <c r="G356">
        <f>SUMIFS(Лист2!E:E,Лист2!A:A,A356,Лист2!B:B,B356)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>
        <f>SUMIFS(Лист2!C:C,Лист2!A:A,A357,Лист2!B:B,B357)</f>
        <v>17</v>
      </c>
      <c r="F357">
        <f>SUMIFS(Лист2!D:D,Лист2!A:A,A357,Лист2!B:B,B357)</f>
        <v>857</v>
      </c>
      <c r="G357">
        <f>SUMIFS(Лист2!E:E,Лист2!A:A,A357,Лист2!B:B,B357)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>
        <f>SUMIFS(Лист2!C:C,Лист2!A:A,A358,Лист2!B:B,B358)</f>
        <v>16</v>
      </c>
      <c r="F358">
        <f>SUMIFS(Лист2!D:D,Лист2!A:A,A358,Лист2!B:B,B358)</f>
        <v>859</v>
      </c>
      <c r="G358">
        <f>SUMIFS(Лист2!E:E,Лист2!A:A,A358,Лист2!B:B,B358)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>
        <f>SUMIFS(Лист2!C:C,Лист2!A:A,A359,Лист2!B:B,B359)</f>
        <v>15</v>
      </c>
      <c r="F359">
        <f>SUMIFS(Лист2!D:D,Лист2!A:A,A359,Лист2!B:B,B359)</f>
        <v>654</v>
      </c>
      <c r="G359">
        <f>SUMIFS(Лист2!E:E,Лист2!A:A,A359,Лист2!B:B,B359)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>
        <f>SUMIFS(Лист2!C:C,Лист2!A:A,A360,Лист2!B:B,B360)</f>
        <v>15</v>
      </c>
      <c r="F360">
        <f>SUMIFS(Лист2!D:D,Лист2!A:A,A360,Лист2!B:B,B360)</f>
        <v>622</v>
      </c>
      <c r="G360">
        <f>SUMIFS(Лист2!E:E,Лист2!A:A,A360,Лист2!B:B,B360)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>
        <f>SUMIFS(Лист2!C:C,Лист2!A:A,A361,Лист2!B:B,B361)</f>
        <v>15</v>
      </c>
      <c r="F361">
        <f>SUMIFS(Лист2!D:D,Лист2!A:A,A361,Лист2!B:B,B361)</f>
        <v>567</v>
      </c>
      <c r="G361">
        <f>SUMIFS(Лист2!E:E,Лист2!A:A,A361,Лист2!B:B,B361)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>
        <f>SUMIFS(Лист2!C:C,Лист2!A:A,A362,Лист2!B:B,B362)</f>
        <v>7</v>
      </c>
      <c r="F362">
        <f>SUMIFS(Лист2!D:D,Лист2!A:A,A362,Лист2!B:B,B362)</f>
        <v>577</v>
      </c>
      <c r="G362">
        <f>SUMIFS(Лист2!E:E,Лист2!A:A,A362,Лист2!B:B,B362)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>
        <f>SUMIFS(Лист2!C:C,Лист2!A:A,A363,Лист2!B:B,B363)</f>
        <v>15</v>
      </c>
      <c r="F363">
        <f>SUMIFS(Лист2!D:D,Лист2!A:A,A363,Лист2!B:B,B363)</f>
        <v>721</v>
      </c>
      <c r="G363">
        <f>SUMIFS(Лист2!E:E,Лист2!A:A,A363,Лист2!B:B,B363)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>
        <f>SUMIFS(Лист2!C:C,Лист2!A:A,A364,Лист2!B:B,B364)</f>
        <v>15</v>
      </c>
      <c r="F364">
        <f>SUMIFS(Лист2!D:D,Лист2!A:A,A364,Лист2!B:B,B364)</f>
        <v>750</v>
      </c>
      <c r="G364">
        <f>SUMIFS(Лист2!E:E,Лист2!A:A,A364,Лист2!B:B,B364)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>
        <f>SUMIFS(Лист2!C:C,Лист2!A:A,A365,Лист2!B:B,B365)</f>
        <v>18</v>
      </c>
      <c r="F365">
        <f>SUMIFS(Лист2!D:D,Лист2!A:A,A365,Лист2!B:B,B365)</f>
        <v>888</v>
      </c>
      <c r="G365">
        <f>SUMIFS(Лист2!E:E,Лист2!A:A,A365,Лист2!B:B,B365)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>
        <f>SUMIFS(Лист2!C:C,Лист2!A:A,A366,Лист2!B:B,B366)</f>
        <v>17</v>
      </c>
      <c r="F366">
        <f>SUMIFS(Лист2!D:D,Лист2!A:A,A366,Лист2!B:B,B366)</f>
        <v>890</v>
      </c>
      <c r="G366">
        <f>SUMIFS(Лист2!E:E,Лист2!A:A,A366,Лист2!B:B,B366)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>
        <f>SUMIFS(Лист2!C:C,Лист2!A:A,A367,Лист2!B:B,B367)</f>
        <v>15</v>
      </c>
      <c r="F367">
        <f>SUMIFS(Лист2!D:D,Лист2!A:A,A367,Лист2!B:B,B367)</f>
        <v>750</v>
      </c>
      <c r="G367">
        <f>SUMIFS(Лист2!E:E,Лист2!A:A,A367,Лист2!B:B,B367)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>
        <f>SUMIFS(Лист2!C:C,Лист2!A:A,A368,Лист2!B:B,B368)</f>
        <v>15</v>
      </c>
      <c r="F368">
        <f>SUMIFS(Лист2!D:D,Лист2!A:A,A368,Лист2!B:B,B368)</f>
        <v>854</v>
      </c>
      <c r="G368">
        <f>SUMIFS(Лист2!E:E,Лист2!A:A,A368,Лист2!B:B,B368)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>
        <f>SUMIFS(Лист2!C:C,Лист2!A:A,A369,Лист2!B:B,B369)</f>
        <v>15</v>
      </c>
      <c r="F369">
        <f>SUMIFS(Лист2!D:D,Лист2!A:A,A369,Лист2!B:B,B369)</f>
        <v>585</v>
      </c>
      <c r="G369">
        <f>SUMIFS(Лист2!E:E,Лист2!A:A,A369,Лист2!B:B,B369)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>
        <f>SUMIFS(Лист2!C:C,Лист2!A:A,A370,Лист2!B:B,B370)</f>
        <v>15</v>
      </c>
      <c r="F370">
        <f>SUMIFS(Лист2!D:D,Лист2!A:A,A370,Лист2!B:B,B370)</f>
        <v>701</v>
      </c>
      <c r="G370">
        <f>SUMIFS(Лист2!E:E,Лист2!A:A,A370,Лист2!B:B,B370)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>
        <f>SUMIFS(Лист2!C:C,Лист2!A:A,A371,Лист2!B:B,B371)</f>
        <v>18</v>
      </c>
      <c r="F371">
        <f>SUMIFS(Лист2!D:D,Лист2!A:A,A371,Лист2!B:B,B371)</f>
        <v>1031</v>
      </c>
      <c r="G371">
        <f>SUMIFS(Лист2!E:E,Лист2!A:A,A371,Лист2!B:B,B371)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>
        <f>SUMIFS(Лист2!C:C,Лист2!A:A,A372,Лист2!B:B,B372)</f>
        <v>18</v>
      </c>
      <c r="F372">
        <f>SUMIFS(Лист2!D:D,Лист2!A:A,A372,Лист2!B:B,B372)</f>
        <v>989</v>
      </c>
      <c r="G372">
        <f>SUMIFS(Лист2!E:E,Лист2!A:A,A372,Лист2!B:B,B372)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>
        <f>SUMIFS(Лист2!C:C,Лист2!A:A,A373,Лист2!B:B,B373)</f>
        <v>15</v>
      </c>
      <c r="F373">
        <f>SUMIFS(Лист2!D:D,Лист2!A:A,A373,Лист2!B:B,B373)</f>
        <v>644</v>
      </c>
      <c r="G373">
        <f>SUMIFS(Лист2!E:E,Лист2!A:A,A373,Лист2!B:B,B373)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>
        <f>SUMIFS(Лист2!C:C,Лист2!A:A,A374,Лист2!B:B,B374)</f>
        <v>15</v>
      </c>
      <c r="F374">
        <f>SUMIFS(Лист2!D:D,Лист2!A:A,A374,Лист2!B:B,B374)</f>
        <v>792</v>
      </c>
      <c r="G374">
        <f>SUMIFS(Лист2!E:E,Лист2!A:A,A374,Лист2!B:B,B374)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>
        <f>SUMIFS(Лист2!C:C,Лист2!A:A,A375,Лист2!B:B,B375)</f>
        <v>15</v>
      </c>
      <c r="F375">
        <f>SUMIFS(Лист2!D:D,Лист2!A:A,A375,Лист2!B:B,B375)</f>
        <v>703</v>
      </c>
      <c r="G375">
        <f>SUMIFS(Лист2!E:E,Лист2!A:A,A375,Лист2!B:B,B375)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>
        <f>SUMIFS(Лист2!C:C,Лист2!A:A,A376,Лист2!B:B,B376)</f>
        <v>15</v>
      </c>
      <c r="F376">
        <f>SUMIFS(Лист2!D:D,Лист2!A:A,A376,Лист2!B:B,B376)</f>
        <v>676</v>
      </c>
      <c r="G376">
        <f>SUMIFS(Лист2!E:E,Лист2!A:A,A376,Лист2!B:B,B376)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>
        <f>SUMIFS(Лист2!C:C,Лист2!A:A,A377,Лист2!B:B,B377)</f>
        <v>18</v>
      </c>
      <c r="F377">
        <f>SUMIFS(Лист2!D:D,Лист2!A:A,A377,Лист2!B:B,B377)</f>
        <v>1006</v>
      </c>
      <c r="G377">
        <f>SUMIFS(Лист2!E:E,Лист2!A:A,A377,Лист2!B:B,B377)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>
        <f>SUMIFS(Лист2!C:C,Лист2!A:A,A378,Лист2!B:B,B378)</f>
        <v>18</v>
      </c>
      <c r="F378">
        <f>SUMIFS(Лист2!D:D,Лист2!A:A,A378,Лист2!B:B,B378)</f>
        <v>914</v>
      </c>
      <c r="G378">
        <f>SUMIFS(Лист2!E:E,Лист2!A:A,A378,Лист2!B:B,B378)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>
        <f>SUMIFS(Лист2!C:C,Лист2!A:A,A379,Лист2!B:B,B379)</f>
        <v>15</v>
      </c>
      <c r="F379">
        <f>SUMIFS(Лист2!D:D,Лист2!A:A,A379,Лист2!B:B,B379)</f>
        <v>453</v>
      </c>
      <c r="G379">
        <f>SUMIFS(Лист2!E:E,Лист2!A:A,A379,Лист2!B:B,B379)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>
        <f>SUMIFS(Лист2!C:C,Лист2!A:A,A380,Лист2!B:B,B380)</f>
        <v>9</v>
      </c>
      <c r="F380">
        <f>SUMIFS(Лист2!D:D,Лист2!A:A,A380,Лист2!B:B,B380)</f>
        <v>345</v>
      </c>
      <c r="G380">
        <f>SUMIFS(Лист2!E:E,Лист2!A:A,A380,Лист2!B:B,B380)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>
        <f>SUMIFS(Лист2!C:C,Лист2!A:A,A381,Лист2!B:B,B381)</f>
        <v>7</v>
      </c>
      <c r="F381">
        <f>SUMIFS(Лист2!D:D,Лист2!A:A,A381,Лист2!B:B,B381)</f>
        <v>532</v>
      </c>
      <c r="G381">
        <f>SUMIFS(Лист2!E:E,Лист2!A:A,A381,Лист2!B:B,B381)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>
        <f>SUMIFS(Лист2!C:C,Лист2!A:A,A382,Лист2!B:B,B382)</f>
        <v>15</v>
      </c>
      <c r="F382">
        <f>SUMIFS(Лист2!D:D,Лист2!A:A,A382,Лист2!B:B,B382)</f>
        <v>400</v>
      </c>
      <c r="G382">
        <f>SUMIFS(Лист2!E:E,Лист2!A:A,A382,Лист2!B:B,B382)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>
        <f>SUMIFS(Лист2!C:C,Лист2!A:A,A383,Лист2!B:B,B383)</f>
        <v>7</v>
      </c>
      <c r="F383">
        <f>SUMIFS(Лист2!D:D,Лист2!A:A,A383,Лист2!B:B,B383)</f>
        <v>420</v>
      </c>
      <c r="G383">
        <f>SUMIFS(Лист2!E:E,Лист2!A:A,A383,Лист2!B:B,B383)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>
        <f>SUMIFS(Лист2!C:C,Лист2!A:A,A384,Лист2!B:B,B384)</f>
        <v>20</v>
      </c>
      <c r="F384">
        <f>SUMIFS(Лист2!D:D,Лист2!A:A,A384,Лист2!B:B,B384)</f>
        <v>2079</v>
      </c>
      <c r="G384">
        <f>SUMIFS(Лист2!E:E,Лист2!A:A,A384,Лист2!B:B,B384)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>
        <f>SUMIFS(Лист2!C:C,Лист2!A:A,A385,Лист2!B:B,B385)</f>
        <v>21</v>
      </c>
      <c r="F385">
        <f>SUMIFS(Лист2!D:D,Лист2!A:A,A385,Лист2!B:B,B385)</f>
        <v>2046</v>
      </c>
      <c r="G385">
        <f>SUMIFS(Лист2!E:E,Лист2!A:A,A385,Лист2!B:B,B385)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>
        <f>SUMIFS(Лист2!C:C,Лист2!A:A,A386,Лист2!B:B,B386)</f>
        <v>6</v>
      </c>
      <c r="F386">
        <f>SUMIFS(Лист2!D:D,Лист2!A:A,A386,Лист2!B:B,B386)</f>
        <v>261</v>
      </c>
      <c r="G386">
        <f>SUMIFS(Лист2!E:E,Лист2!A:A,A386,Лист2!B:B,B386)</f>
        <v>188</v>
      </c>
      <c r="H386">
        <f t="shared" si="10"/>
        <v>78139.25</v>
      </c>
      <c r="I386">
        <f t="shared" si="11"/>
        <v>22</v>
      </c>
    </row>
    <row r="387" spans="1:9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>
        <f>SUMIFS(Лист2!C:C,Лист2!A:A,A387,Лист2!B:B,B387)</f>
        <v>21</v>
      </c>
      <c r="F387">
        <f>SUMIFS(Лист2!D:D,Лист2!A:A,A387,Лист2!B:B,B387)</f>
        <v>1597</v>
      </c>
      <c r="G387">
        <f>SUMIFS(Лист2!E:E,Лист2!A:A,A387,Лист2!B:B,B387)</f>
        <v>1457</v>
      </c>
      <c r="H387">
        <f t="shared" ref="H387:H450" si="12">D387/E387</f>
        <v>118066.5</v>
      </c>
      <c r="I387">
        <f t="shared" ref="I387:I450" si="13">WEEKNUM(A387,21)</f>
        <v>20</v>
      </c>
    </row>
    <row r="388" spans="1:9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>
        <f>SUMIFS(Лист2!C:C,Лист2!A:A,A388,Лист2!B:B,B388)</f>
        <v>18</v>
      </c>
      <c r="F388">
        <f>SUMIFS(Лист2!D:D,Лист2!A:A,A388,Лист2!B:B,B388)</f>
        <v>1216</v>
      </c>
      <c r="G388">
        <f>SUMIFS(Лист2!E:E,Лист2!A:A,A388,Лист2!B:B,B388)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>
        <f>SUMIFS(Лист2!C:C,Лист2!A:A,A389,Лист2!B:B,B389)</f>
        <v>18</v>
      </c>
      <c r="F389">
        <f>SUMIFS(Лист2!D:D,Лист2!A:A,A389,Лист2!B:B,B389)</f>
        <v>1020</v>
      </c>
      <c r="G389">
        <f>SUMIFS(Лист2!E:E,Лист2!A:A,A389,Лист2!B:B,B389)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>
        <f>SUMIFS(Лист2!C:C,Лист2!A:A,A390,Лист2!B:B,B390)</f>
        <v>21</v>
      </c>
      <c r="F390">
        <f>SUMIFS(Лист2!D:D,Лист2!A:A,A390,Лист2!B:B,B390)</f>
        <v>1834</v>
      </c>
      <c r="G390">
        <f>SUMIFS(Лист2!E:E,Лист2!A:A,A390,Лист2!B:B,B390)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>
        <f>SUMIFS(Лист2!C:C,Лист2!A:A,A391,Лист2!B:B,B391)</f>
        <v>21</v>
      </c>
      <c r="F391">
        <f>SUMIFS(Лист2!D:D,Лист2!A:A,A391,Лист2!B:B,B391)</f>
        <v>1706</v>
      </c>
      <c r="G391">
        <f>SUMIFS(Лист2!E:E,Лист2!A:A,A391,Лист2!B:B,B391)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>
        <f>SUMIFS(Лист2!C:C,Лист2!A:A,A392,Лист2!B:B,B392)</f>
        <v>21</v>
      </c>
      <c r="F392">
        <f>SUMIFS(Лист2!D:D,Лист2!A:A,A392,Лист2!B:B,B392)</f>
        <v>1926</v>
      </c>
      <c r="G392">
        <f>SUMIFS(Лист2!E:E,Лист2!A:A,A392,Лист2!B:B,B392)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>
        <f>SUMIFS(Лист2!C:C,Лист2!A:A,A393,Лист2!B:B,B393)</f>
        <v>21</v>
      </c>
      <c r="F393">
        <f>SUMIFS(Лист2!D:D,Лист2!A:A,A393,Лист2!B:B,B393)</f>
        <v>2025</v>
      </c>
      <c r="G393">
        <f>SUMIFS(Лист2!E:E,Лист2!A:A,A393,Лист2!B:B,B393)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>
        <f>SUMIFS(Лист2!C:C,Лист2!A:A,A394,Лист2!B:B,B394)</f>
        <v>7</v>
      </c>
      <c r="F394">
        <f>SUMIFS(Лист2!D:D,Лист2!A:A,A394,Лист2!B:B,B394)</f>
        <v>530</v>
      </c>
      <c r="G394">
        <f>SUMIFS(Лист2!E:E,Лист2!A:A,A394,Лист2!B:B,B394)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>
        <f>SUMIFS(Лист2!C:C,Лист2!A:A,A395,Лист2!B:B,B395)</f>
        <v>20</v>
      </c>
      <c r="F395">
        <f>SUMIFS(Лист2!D:D,Лист2!A:A,A395,Лист2!B:B,B395)</f>
        <v>2111</v>
      </c>
      <c r="G395">
        <f>SUMIFS(Лист2!E:E,Лист2!A:A,A395,Лист2!B:B,B395)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>
        <f>SUMIFS(Лист2!C:C,Лист2!A:A,A396,Лист2!B:B,B396)</f>
        <v>31</v>
      </c>
      <c r="F396">
        <f>SUMIFS(Лист2!D:D,Лист2!A:A,A396,Лист2!B:B,B396)</f>
        <v>5330</v>
      </c>
      <c r="G396">
        <f>SUMIFS(Лист2!E:E,Лист2!A:A,A396,Лист2!B:B,B396)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>
        <f>SUMIFS(Лист2!C:C,Лист2!A:A,A397,Лист2!B:B,B397)</f>
        <v>31</v>
      </c>
      <c r="F397">
        <f>SUMIFS(Лист2!D:D,Лист2!A:A,A397,Лист2!B:B,B397)</f>
        <v>5965</v>
      </c>
      <c r="G397">
        <f>SUMIFS(Лист2!E:E,Лист2!A:A,A397,Лист2!B:B,B397)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>
        <f>SUMIFS(Лист2!C:C,Лист2!A:A,A398,Лист2!B:B,B398)</f>
        <v>31</v>
      </c>
      <c r="F398">
        <f>SUMIFS(Лист2!D:D,Лист2!A:A,A398,Лист2!B:B,B398)</f>
        <v>5468</v>
      </c>
      <c r="G398">
        <f>SUMIFS(Лист2!E:E,Лист2!A:A,A398,Лист2!B:B,B398)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>
        <f>SUMIFS(Лист2!C:C,Лист2!A:A,A399,Лист2!B:B,B399)</f>
        <v>18</v>
      </c>
      <c r="F399">
        <f>SUMIFS(Лист2!D:D,Лист2!A:A,A399,Лист2!B:B,B399)</f>
        <v>1029</v>
      </c>
      <c r="G399">
        <f>SUMIFS(Лист2!E:E,Лист2!A:A,A399,Лист2!B:B,B399)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>
        <f>SUMIFS(Лист2!C:C,Лист2!A:A,A400,Лист2!B:B,B400)</f>
        <v>31</v>
      </c>
      <c r="F400">
        <f>SUMIFS(Лист2!D:D,Лист2!A:A,A400,Лист2!B:B,B400)</f>
        <v>4826</v>
      </c>
      <c r="G400">
        <f>SUMIFS(Лист2!E:E,Лист2!A:A,A400,Лист2!B:B,B400)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>
        <f>SUMIFS(Лист2!C:C,Лист2!A:A,A401,Лист2!B:B,B401)</f>
        <v>31</v>
      </c>
      <c r="F401">
        <f>SUMIFS(Лист2!D:D,Лист2!A:A,A401,Лист2!B:B,B401)</f>
        <v>5165</v>
      </c>
      <c r="G401">
        <f>SUMIFS(Лист2!E:E,Лист2!A:A,A401,Лист2!B:B,B401)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>
        <f>SUMIFS(Лист2!C:C,Лист2!A:A,A402,Лист2!B:B,B402)</f>
        <v>31</v>
      </c>
      <c r="F402">
        <f>SUMIFS(Лист2!D:D,Лист2!A:A,A402,Лист2!B:B,B402)</f>
        <v>4695</v>
      </c>
      <c r="G402">
        <f>SUMIFS(Лист2!E:E,Лист2!A:A,A402,Лист2!B:B,B402)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>
        <f>SUMIFS(Лист2!C:C,Лист2!A:A,A403,Лист2!B:B,B403)</f>
        <v>31</v>
      </c>
      <c r="F403">
        <f>SUMIFS(Лист2!D:D,Лист2!A:A,A403,Лист2!B:B,B403)</f>
        <v>5184</v>
      </c>
      <c r="G403">
        <f>SUMIFS(Лист2!E:E,Лист2!A:A,A403,Лист2!B:B,B403)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>
        <f>SUMIFS(Лист2!C:C,Лист2!A:A,A404,Лист2!B:B,B404)</f>
        <v>10</v>
      </c>
      <c r="F404">
        <f>SUMIFS(Лист2!D:D,Лист2!A:A,A404,Лист2!B:B,B404)</f>
        <v>757</v>
      </c>
      <c r="G404">
        <f>SUMIFS(Лист2!E:E,Лист2!A:A,A404,Лист2!B:B,B404)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>
        <f>SUMIFS(Лист2!C:C,Лист2!A:A,A405,Лист2!B:B,B405)</f>
        <v>10</v>
      </c>
      <c r="F405">
        <f>SUMIFS(Лист2!D:D,Лист2!A:A,A405,Лист2!B:B,B405)</f>
        <v>965</v>
      </c>
      <c r="G405">
        <f>SUMIFS(Лист2!E:E,Лист2!A:A,A405,Лист2!B:B,B405)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>
        <f>SUMIFS(Лист2!C:C,Лист2!A:A,A406,Лист2!B:B,B406)</f>
        <v>10</v>
      </c>
      <c r="F406">
        <f>SUMIFS(Лист2!D:D,Лист2!A:A,A406,Лист2!B:B,B406)</f>
        <v>719</v>
      </c>
      <c r="G406">
        <f>SUMIFS(Лист2!E:E,Лист2!A:A,A406,Лист2!B:B,B406)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>
        <f>SUMIFS(Лист2!C:C,Лист2!A:A,A407,Лист2!B:B,B407)</f>
        <v>10</v>
      </c>
      <c r="F407">
        <f>SUMIFS(Лист2!D:D,Лист2!A:A,A407,Лист2!B:B,B407)</f>
        <v>494</v>
      </c>
      <c r="G407">
        <f>SUMIFS(Лист2!E:E,Лист2!A:A,A407,Лист2!B:B,B407)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>
        <f>SUMIFS(Лист2!C:C,Лист2!A:A,A408,Лист2!B:B,B408)</f>
        <v>31</v>
      </c>
      <c r="F408">
        <f>SUMIFS(Лист2!D:D,Лист2!A:A,A408,Лист2!B:B,B408)</f>
        <v>5751</v>
      </c>
      <c r="G408">
        <f>SUMIFS(Лист2!E:E,Лист2!A:A,A408,Лист2!B:B,B408)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>
        <f>SUMIFS(Лист2!C:C,Лист2!A:A,A409,Лист2!B:B,B409)</f>
        <v>10</v>
      </c>
      <c r="F409">
        <f>SUMIFS(Лист2!D:D,Лист2!A:A,A409,Лист2!B:B,B409)</f>
        <v>645</v>
      </c>
      <c r="G409">
        <f>SUMIFS(Лист2!E:E,Лист2!A:A,A409,Лист2!B:B,B409)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>
        <f>SUMIFS(Лист2!C:C,Лист2!A:A,A410,Лист2!B:B,B410)</f>
        <v>10</v>
      </c>
      <c r="F410">
        <f>SUMIFS(Лист2!D:D,Лист2!A:A,A410,Лист2!B:B,B410)</f>
        <v>627</v>
      </c>
      <c r="G410">
        <f>SUMIFS(Лист2!E:E,Лист2!A:A,A410,Лист2!B:B,B410)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>
        <f>SUMIFS(Лист2!C:C,Лист2!A:A,A411,Лист2!B:B,B411)</f>
        <v>10</v>
      </c>
      <c r="F411">
        <f>SUMIFS(Лист2!D:D,Лист2!A:A,A411,Лист2!B:B,B411)</f>
        <v>743</v>
      </c>
      <c r="G411">
        <f>SUMIFS(Лист2!E:E,Лист2!A:A,A411,Лист2!B:B,B411)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>
        <f>SUMIFS(Лист2!C:C,Лист2!A:A,A412,Лист2!B:B,B412)</f>
        <v>10</v>
      </c>
      <c r="F412">
        <f>SUMIFS(Лист2!D:D,Лист2!A:A,A412,Лист2!B:B,B412)</f>
        <v>873</v>
      </c>
      <c r="G412">
        <f>SUMIFS(Лист2!E:E,Лист2!A:A,A412,Лист2!B:B,B412)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>
        <f>SUMIFS(Лист2!C:C,Лист2!A:A,A413,Лист2!B:B,B413)</f>
        <v>20</v>
      </c>
      <c r="F413">
        <f>SUMIFS(Лист2!D:D,Лист2!A:A,A413,Лист2!B:B,B413)</f>
        <v>2079</v>
      </c>
      <c r="G413">
        <f>SUMIFS(Лист2!E:E,Лист2!A:A,A413,Лист2!B:B,B413)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>
        <f>SUMIFS(Лист2!C:C,Лист2!A:A,A414,Лист2!B:B,B414)</f>
        <v>20</v>
      </c>
      <c r="F414">
        <f>SUMIFS(Лист2!D:D,Лист2!A:A,A414,Лист2!B:B,B414)</f>
        <v>2306</v>
      </c>
      <c r="G414">
        <f>SUMIFS(Лист2!E:E,Лист2!A:A,A414,Лист2!B:B,B414)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>
        <f>SUMIFS(Лист2!C:C,Лист2!A:A,A415,Лист2!B:B,B415)</f>
        <v>20</v>
      </c>
      <c r="F415">
        <f>SUMIFS(Лист2!D:D,Лист2!A:A,A415,Лист2!B:B,B415)</f>
        <v>2136</v>
      </c>
      <c r="G415">
        <f>SUMIFS(Лист2!E:E,Лист2!A:A,A415,Лист2!B:B,B415)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>
        <f>SUMIFS(Лист2!C:C,Лист2!A:A,A416,Лист2!B:B,B416)</f>
        <v>19</v>
      </c>
      <c r="F416">
        <f>SUMIFS(Лист2!D:D,Лист2!A:A,A416,Лист2!B:B,B416)</f>
        <v>2530</v>
      </c>
      <c r="G416">
        <f>SUMIFS(Лист2!E:E,Лист2!A:A,A416,Лист2!B:B,B416)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>
        <f>SUMIFS(Лист2!C:C,Лист2!A:A,A417,Лист2!B:B,B417)</f>
        <v>19</v>
      </c>
      <c r="F417">
        <f>SUMIFS(Лист2!D:D,Лист2!A:A,A417,Лист2!B:B,B417)</f>
        <v>1858</v>
      </c>
      <c r="G417">
        <f>SUMIFS(Лист2!E:E,Лист2!A:A,A417,Лист2!B:B,B417)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>
        <f>SUMIFS(Лист2!C:C,Лист2!A:A,A418,Лист2!B:B,B418)</f>
        <v>19</v>
      </c>
      <c r="F418">
        <f>SUMIFS(Лист2!D:D,Лист2!A:A,A418,Лист2!B:B,B418)</f>
        <v>1675</v>
      </c>
      <c r="G418">
        <f>SUMIFS(Лист2!E:E,Лист2!A:A,A418,Лист2!B:B,B418)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>
        <f>SUMIFS(Лист2!C:C,Лист2!A:A,A419,Лист2!B:B,B419)</f>
        <v>19</v>
      </c>
      <c r="F419">
        <f>SUMIFS(Лист2!D:D,Лист2!A:A,A419,Лист2!B:B,B419)</f>
        <v>1940</v>
      </c>
      <c r="G419">
        <f>SUMIFS(Лист2!E:E,Лист2!A:A,A419,Лист2!B:B,B419)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>
        <f>SUMIFS(Лист2!C:C,Лист2!A:A,A420,Лист2!B:B,B420)</f>
        <v>20</v>
      </c>
      <c r="F420">
        <f>SUMIFS(Лист2!D:D,Лист2!A:A,A420,Лист2!B:B,B420)</f>
        <v>2249</v>
      </c>
      <c r="G420">
        <f>SUMIFS(Лист2!E:E,Лист2!A:A,A420,Лист2!B:B,B420)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>
        <f>SUMIFS(Лист2!C:C,Лист2!A:A,A421,Лист2!B:B,B421)</f>
        <v>129</v>
      </c>
      <c r="F421">
        <f>SUMIFS(Лист2!D:D,Лист2!A:A,A421,Лист2!B:B,B421)</f>
        <v>17115</v>
      </c>
      <c r="G421">
        <f>SUMIFS(Лист2!E:E,Лист2!A:A,A421,Лист2!B:B,B421)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>
        <f>SUMIFS(Лист2!C:C,Лист2!A:A,A422,Лист2!B:B,B422)</f>
        <v>129</v>
      </c>
      <c r="F422">
        <f>SUMIFS(Лист2!D:D,Лист2!A:A,A422,Лист2!B:B,B422)</f>
        <v>17088</v>
      </c>
      <c r="G422">
        <f>SUMIFS(Лист2!E:E,Лист2!A:A,A422,Лист2!B:B,B422)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>
        <f>SUMIFS(Лист2!C:C,Лист2!A:A,A423,Лист2!B:B,B423)</f>
        <v>128</v>
      </c>
      <c r="F423">
        <f>SUMIFS(Лист2!D:D,Лист2!A:A,A423,Лист2!B:B,B423)</f>
        <v>16285</v>
      </c>
      <c r="G423">
        <f>SUMIFS(Лист2!E:E,Лист2!A:A,A423,Лист2!B:B,B423)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>
        <f>SUMIFS(Лист2!C:C,Лист2!A:A,A424,Лист2!B:B,B424)</f>
        <v>129</v>
      </c>
      <c r="F424">
        <f>SUMIFS(Лист2!D:D,Лист2!A:A,A424,Лист2!B:B,B424)</f>
        <v>14043</v>
      </c>
      <c r="G424">
        <f>SUMIFS(Лист2!E:E,Лист2!A:A,A424,Лист2!B:B,B424)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>
        <f>SUMIFS(Лист2!C:C,Лист2!A:A,A425,Лист2!B:B,B425)</f>
        <v>129</v>
      </c>
      <c r="F425">
        <f>SUMIFS(Лист2!D:D,Лист2!A:A,A425,Лист2!B:B,B425)</f>
        <v>16110</v>
      </c>
      <c r="G425">
        <f>SUMIFS(Лист2!E:E,Лист2!A:A,A425,Лист2!B:B,B425)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>
        <f>SUMIFS(Лист2!C:C,Лист2!A:A,A426,Лист2!B:B,B426)</f>
        <v>129</v>
      </c>
      <c r="F426">
        <f>SUMIFS(Лист2!D:D,Лист2!A:A,A426,Лист2!B:B,B426)</f>
        <v>15804</v>
      </c>
      <c r="G426">
        <f>SUMIFS(Лист2!E:E,Лист2!A:A,A426,Лист2!B:B,B426)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>
        <f>SUMIFS(Лист2!C:C,Лист2!A:A,A427,Лист2!B:B,B427)</f>
        <v>129</v>
      </c>
      <c r="F427">
        <f>SUMIFS(Лист2!D:D,Лист2!A:A,A427,Лист2!B:B,B427)</f>
        <v>17808</v>
      </c>
      <c r="G427">
        <f>SUMIFS(Лист2!E:E,Лист2!A:A,A427,Лист2!B:B,B427)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>
        <f>SUMIFS(Лист2!C:C,Лист2!A:A,A428,Лист2!B:B,B428)</f>
        <v>124</v>
      </c>
      <c r="F428">
        <f>SUMIFS(Лист2!D:D,Лист2!A:A,A428,Лист2!B:B,B428)</f>
        <v>21384</v>
      </c>
      <c r="G428">
        <f>SUMIFS(Лист2!E:E,Лист2!A:A,A428,Лист2!B:B,B428)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>
        <f>SUMIFS(Лист2!C:C,Лист2!A:A,A429,Лист2!B:B,B429)</f>
        <v>125</v>
      </c>
      <c r="F429">
        <f>SUMIFS(Лист2!D:D,Лист2!A:A,A429,Лист2!B:B,B429)</f>
        <v>21427</v>
      </c>
      <c r="G429">
        <f>SUMIFS(Лист2!E:E,Лист2!A:A,A429,Лист2!B:B,B429)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>
        <f>SUMIFS(Лист2!C:C,Лист2!A:A,A430,Лист2!B:B,B430)</f>
        <v>123</v>
      </c>
      <c r="F430">
        <f>SUMIFS(Лист2!D:D,Лист2!A:A,A430,Лист2!B:B,B430)</f>
        <v>20325</v>
      </c>
      <c r="G430">
        <f>SUMIFS(Лист2!E:E,Лист2!A:A,A430,Лист2!B:B,B430)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>
        <f>SUMIFS(Лист2!C:C,Лист2!A:A,A431,Лист2!B:B,B431)</f>
        <v>125</v>
      </c>
      <c r="F431">
        <f>SUMIFS(Лист2!D:D,Лист2!A:A,A431,Лист2!B:B,B431)</f>
        <v>18066</v>
      </c>
      <c r="G431">
        <f>SUMIFS(Лист2!E:E,Лист2!A:A,A431,Лист2!B:B,B431)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>
        <f>SUMIFS(Лист2!C:C,Лист2!A:A,A432,Лист2!B:B,B432)</f>
        <v>129</v>
      </c>
      <c r="F432">
        <f>SUMIFS(Лист2!D:D,Лист2!A:A,A432,Лист2!B:B,B432)</f>
        <v>22403</v>
      </c>
      <c r="G432">
        <f>SUMIFS(Лист2!E:E,Лист2!A:A,A432,Лист2!B:B,B432)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>
        <f>SUMIFS(Лист2!C:C,Лист2!A:A,A433,Лист2!B:B,B433)</f>
        <v>125</v>
      </c>
      <c r="F433">
        <f>SUMIFS(Лист2!D:D,Лист2!A:A,A433,Лист2!B:B,B433)</f>
        <v>20449</v>
      </c>
      <c r="G433">
        <f>SUMIFS(Лист2!E:E,Лист2!A:A,A433,Лист2!B:B,B433)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>
        <f>SUMIFS(Лист2!C:C,Лист2!A:A,A434,Лист2!B:B,B434)</f>
        <v>125</v>
      </c>
      <c r="F434">
        <f>SUMIFS(Лист2!D:D,Лист2!A:A,A434,Лист2!B:B,B434)</f>
        <v>20247</v>
      </c>
      <c r="G434">
        <f>SUMIFS(Лист2!E:E,Лист2!A:A,A434,Лист2!B:B,B434)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>
        <f>SUMIFS(Лист2!C:C,Лист2!A:A,A435,Лист2!B:B,B435)</f>
        <v>125</v>
      </c>
      <c r="F435">
        <f>SUMIFS(Лист2!D:D,Лист2!A:A,A435,Лист2!B:B,B435)</f>
        <v>21862</v>
      </c>
      <c r="G435">
        <f>SUMIFS(Лист2!E:E,Лист2!A:A,A435,Лист2!B:B,B435)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>
        <f>SUMIFS(Лист2!C:C,Лист2!A:A,A436,Лист2!B:B,B436)</f>
        <v>36</v>
      </c>
      <c r="F436">
        <f>SUMIFS(Лист2!D:D,Лист2!A:A,A436,Лист2!B:B,B436)</f>
        <v>4951</v>
      </c>
      <c r="G436">
        <f>SUMIFS(Лист2!E:E,Лист2!A:A,A436,Лист2!B:B,B436)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>
        <f>SUMIFS(Лист2!C:C,Лист2!A:A,A437,Лист2!B:B,B437)</f>
        <v>36</v>
      </c>
      <c r="F437">
        <f>SUMIFS(Лист2!D:D,Лист2!A:A,A437,Лист2!B:B,B437)</f>
        <v>4857</v>
      </c>
      <c r="G437">
        <f>SUMIFS(Лист2!E:E,Лист2!A:A,A437,Лист2!B:B,B437)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>
        <f>SUMIFS(Лист2!C:C,Лист2!A:A,A438,Лист2!B:B,B438)</f>
        <v>37</v>
      </c>
      <c r="F438">
        <f>SUMIFS(Лист2!D:D,Лист2!A:A,A438,Лист2!B:B,B438)</f>
        <v>4722</v>
      </c>
      <c r="G438">
        <f>SUMIFS(Лист2!E:E,Лист2!A:A,A438,Лист2!B:B,B438)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>
        <f>SUMIFS(Лист2!C:C,Лист2!A:A,A439,Лист2!B:B,B439)</f>
        <v>36</v>
      </c>
      <c r="F439">
        <f>SUMIFS(Лист2!D:D,Лист2!A:A,A439,Лист2!B:B,B439)</f>
        <v>4150</v>
      </c>
      <c r="G439">
        <f>SUMIFS(Лист2!E:E,Лист2!A:A,A439,Лист2!B:B,B439)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>
        <f>SUMIFS(Лист2!C:C,Лист2!A:A,A440,Лист2!B:B,B440)</f>
        <v>124</v>
      </c>
      <c r="F440">
        <f>SUMIFS(Лист2!D:D,Лист2!A:A,A440,Лист2!B:B,B440)</f>
        <v>25828</v>
      </c>
      <c r="G440">
        <f>SUMIFS(Лист2!E:E,Лист2!A:A,A440,Лист2!B:B,B440)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>
        <f>SUMIFS(Лист2!C:C,Лист2!A:A,A441,Лист2!B:B,B441)</f>
        <v>36</v>
      </c>
      <c r="F441">
        <f>SUMIFS(Лист2!D:D,Лист2!A:A,A441,Лист2!B:B,B441)</f>
        <v>4885</v>
      </c>
      <c r="G441">
        <f>SUMIFS(Лист2!E:E,Лист2!A:A,A441,Лист2!B:B,B441)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>
        <f>SUMIFS(Лист2!C:C,Лист2!A:A,A442,Лист2!B:B,B442)</f>
        <v>36</v>
      </c>
      <c r="F442">
        <f>SUMIFS(Лист2!D:D,Лист2!A:A,A442,Лист2!B:B,B442)</f>
        <v>4285</v>
      </c>
      <c r="G442">
        <f>SUMIFS(Лист2!E:E,Лист2!A:A,A442,Лист2!B:B,B442)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>
        <f>SUMIFS(Лист2!C:C,Лист2!A:A,A443,Лист2!B:B,B443)</f>
        <v>36</v>
      </c>
      <c r="F443">
        <f>SUMIFS(Лист2!D:D,Лист2!A:A,A443,Лист2!B:B,B443)</f>
        <v>4862</v>
      </c>
      <c r="G443">
        <f>SUMIFS(Лист2!E:E,Лист2!A:A,A443,Лист2!B:B,B443)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>
        <f>SUMIFS(Лист2!C:C,Лист2!A:A,A444,Лист2!B:B,B444)</f>
        <v>21</v>
      </c>
      <c r="F444">
        <f>SUMIFS(Лист2!D:D,Лист2!A:A,A444,Лист2!B:B,B444)</f>
        <v>2430</v>
      </c>
      <c r="G444">
        <f>SUMIFS(Лист2!E:E,Лист2!A:A,A444,Лист2!B:B,B444)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>
        <f>SUMIFS(Лист2!C:C,Лист2!A:A,A445,Лист2!B:B,B445)</f>
        <v>21</v>
      </c>
      <c r="F445">
        <f>SUMIFS(Лист2!D:D,Лист2!A:A,A445,Лист2!B:B,B445)</f>
        <v>2861</v>
      </c>
      <c r="G445">
        <f>SUMIFS(Лист2!E:E,Лист2!A:A,A445,Лист2!B:B,B445)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>
        <f>SUMIFS(Лист2!C:C,Лист2!A:A,A446,Лист2!B:B,B446)</f>
        <v>23</v>
      </c>
      <c r="F446">
        <f>SUMIFS(Лист2!D:D,Лист2!A:A,A446,Лист2!B:B,B446)</f>
        <v>2531</v>
      </c>
      <c r="G446">
        <f>SUMIFS(Лист2!E:E,Лист2!A:A,A446,Лист2!B:B,B446)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>
        <f>SUMIFS(Лист2!C:C,Лист2!A:A,A447,Лист2!B:B,B447)</f>
        <v>21</v>
      </c>
      <c r="F447">
        <f>SUMIFS(Лист2!D:D,Лист2!A:A,A447,Лист2!B:B,B447)</f>
        <v>1916</v>
      </c>
      <c r="G447">
        <f>SUMIFS(Лист2!E:E,Лист2!A:A,A447,Лист2!B:B,B447)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>
        <f>SUMIFS(Лист2!C:C,Лист2!A:A,A448,Лист2!B:B,B448)</f>
        <v>37</v>
      </c>
      <c r="F448">
        <f>SUMIFS(Лист2!D:D,Лист2!A:A,A448,Лист2!B:B,B448)</f>
        <v>5672</v>
      </c>
      <c r="G448">
        <f>SUMIFS(Лист2!E:E,Лист2!A:A,A448,Лист2!B:B,B448)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>
        <f>SUMIFS(Лист2!C:C,Лист2!A:A,A449,Лист2!B:B,B449)</f>
        <v>21</v>
      </c>
      <c r="F449">
        <f>SUMIFS(Лист2!D:D,Лист2!A:A,A449,Лист2!B:B,B449)</f>
        <v>2136</v>
      </c>
      <c r="G449">
        <f>SUMIFS(Лист2!E:E,Лист2!A:A,A449,Лист2!B:B,B449)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>
        <f>SUMIFS(Лист2!C:C,Лист2!A:A,A450,Лист2!B:B,B450)</f>
        <v>21</v>
      </c>
      <c r="F450">
        <f>SUMIFS(Лист2!D:D,Лист2!A:A,A450,Лист2!B:B,B450)</f>
        <v>1993</v>
      </c>
      <c r="G450">
        <f>SUMIFS(Лист2!E:E,Лист2!A:A,A450,Лист2!B:B,B450)</f>
        <v>1796</v>
      </c>
      <c r="H450">
        <f t="shared" si="12"/>
        <v>150784.71428571429</v>
      </c>
      <c r="I450">
        <f t="shared" si="13"/>
        <v>20</v>
      </c>
    </row>
    <row r="451" spans="1:9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>
        <f>SUMIFS(Лист2!C:C,Лист2!A:A,A451,Лист2!B:B,B451)</f>
        <v>21</v>
      </c>
      <c r="F451">
        <f>SUMIFS(Лист2!D:D,Лист2!A:A,A451,Лист2!B:B,B451)</f>
        <v>2255</v>
      </c>
      <c r="G451">
        <f>SUMIFS(Лист2!E:E,Лист2!A:A,A451,Лист2!B:B,B451)</f>
        <v>2045</v>
      </c>
      <c r="H451">
        <f t="shared" ref="H451:H505" si="14">D451/E451</f>
        <v>179631.35714285713</v>
      </c>
      <c r="I451">
        <f t="shared" ref="I451:I505" si="15">WEEKNUM(A451,21)</f>
        <v>20</v>
      </c>
    </row>
    <row r="452" spans="1:9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>
        <f>SUMIFS(Лист2!C:C,Лист2!A:A,A452,Лист2!B:B,B452)</f>
        <v>22</v>
      </c>
      <c r="F452">
        <f>SUMIFS(Лист2!D:D,Лист2!A:A,A452,Лист2!B:B,B452)</f>
        <v>2597</v>
      </c>
      <c r="G452">
        <f>SUMIFS(Лист2!E:E,Лист2!A:A,A452,Лист2!B:B,B452)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>
        <f>SUMIFS(Лист2!C:C,Лист2!A:A,A453,Лист2!B:B,B453)</f>
        <v>17</v>
      </c>
      <c r="F453">
        <f>SUMIFS(Лист2!D:D,Лист2!A:A,A453,Лист2!B:B,B453)</f>
        <v>1203</v>
      </c>
      <c r="G453">
        <f>SUMIFS(Лист2!E:E,Лист2!A:A,A453,Лист2!B:B,B453)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>
        <f>SUMIFS(Лист2!C:C,Лист2!A:A,A454,Лист2!B:B,B454)</f>
        <v>17</v>
      </c>
      <c r="F454">
        <f>SUMIFS(Лист2!D:D,Лист2!A:A,A454,Лист2!B:B,B454)</f>
        <v>1268</v>
      </c>
      <c r="G454">
        <f>SUMIFS(Лист2!E:E,Лист2!A:A,A454,Лист2!B:B,B454)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>
        <f>SUMIFS(Лист2!C:C,Лист2!A:A,A455,Лист2!B:B,B455)</f>
        <v>17</v>
      </c>
      <c r="F455">
        <f>SUMIFS(Лист2!D:D,Лист2!A:A,A455,Лист2!B:B,B455)</f>
        <v>1185</v>
      </c>
      <c r="G455">
        <f>SUMIFS(Лист2!E:E,Лист2!A:A,A455,Лист2!B:B,B455)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>
        <f>SUMIFS(Лист2!C:C,Лист2!A:A,A456,Лист2!B:B,B456)</f>
        <v>15</v>
      </c>
      <c r="F456">
        <f>SUMIFS(Лист2!D:D,Лист2!A:A,A456,Лист2!B:B,B456)</f>
        <v>812</v>
      </c>
      <c r="G456">
        <f>SUMIFS(Лист2!E:E,Лист2!A:A,A456,Лист2!B:B,B456)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>
        <f>SUMIFS(Лист2!C:C,Лист2!A:A,A457,Лист2!B:B,B457)</f>
        <v>16</v>
      </c>
      <c r="F457">
        <f>SUMIFS(Лист2!D:D,Лист2!A:A,A457,Лист2!B:B,B457)</f>
        <v>925</v>
      </c>
      <c r="G457">
        <f>SUMIFS(Лист2!E:E,Лист2!A:A,A457,Лист2!B:B,B457)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>
        <f>SUMIFS(Лист2!C:C,Лист2!A:A,A458,Лист2!B:B,B458)</f>
        <v>15</v>
      </c>
      <c r="F458">
        <f>SUMIFS(Лист2!D:D,Лист2!A:A,A458,Лист2!B:B,B458)</f>
        <v>890</v>
      </c>
      <c r="G458">
        <f>SUMIFS(Лист2!E:E,Лист2!A:A,A458,Лист2!B:B,B458)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>
        <f>SUMIFS(Лист2!C:C,Лист2!A:A,A459,Лист2!B:B,B459)</f>
        <v>15</v>
      </c>
      <c r="F459">
        <f>SUMIFS(Лист2!D:D,Лист2!A:A,A459,Лист2!B:B,B459)</f>
        <v>980</v>
      </c>
      <c r="G459">
        <f>SUMIFS(Лист2!E:E,Лист2!A:A,A459,Лист2!B:B,B459)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>
        <f>SUMIFS(Лист2!C:C,Лист2!A:A,A460,Лист2!B:B,B460)</f>
        <v>15</v>
      </c>
      <c r="F460">
        <f>SUMIFS(Лист2!D:D,Лист2!A:A,A460,Лист2!B:B,B460)</f>
        <v>809</v>
      </c>
      <c r="G460">
        <f>SUMIFS(Лист2!E:E,Лист2!A:A,A460,Лист2!B:B,B460)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>
        <f>SUMIFS(Лист2!C:C,Лист2!A:A,A461,Лист2!B:B,B461)</f>
        <v>15</v>
      </c>
      <c r="F461">
        <f>SUMIFS(Лист2!D:D,Лист2!A:A,A461,Лист2!B:B,B461)</f>
        <v>903</v>
      </c>
      <c r="G461">
        <f>SUMIFS(Лист2!E:E,Лист2!A:A,A461,Лист2!B:B,B461)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>
        <f>SUMIFS(Лист2!C:C,Лист2!A:A,A462,Лист2!B:B,B462)</f>
        <v>16</v>
      </c>
      <c r="F462">
        <f>SUMIFS(Лист2!D:D,Лист2!A:A,A462,Лист2!B:B,B462)</f>
        <v>1019</v>
      </c>
      <c r="G462">
        <f>SUMIFS(Лист2!E:E,Лист2!A:A,A462,Лист2!B:B,B462)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>
        <f>SUMIFS(Лист2!C:C,Лист2!A:A,A463,Лист2!B:B,B463)</f>
        <v>15</v>
      </c>
      <c r="F463">
        <f>SUMIFS(Лист2!D:D,Лист2!A:A,A463,Лист2!B:B,B463)</f>
        <v>684</v>
      </c>
      <c r="G463">
        <f>SUMIFS(Лист2!E:E,Лист2!A:A,A463,Лист2!B:B,B463)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>
        <f>SUMIFS(Лист2!C:C,Лист2!A:A,A464,Лист2!B:B,B464)</f>
        <v>17</v>
      </c>
      <c r="F464">
        <f>SUMIFS(Лист2!D:D,Лист2!A:A,A464,Лист2!B:B,B464)</f>
        <v>1296</v>
      </c>
      <c r="G464">
        <f>SUMIFS(Лист2!E:E,Лист2!A:A,A464,Лист2!B:B,B464)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>
        <f>SUMIFS(Лист2!C:C,Лист2!A:A,A465,Лист2!B:B,B465)</f>
        <v>15</v>
      </c>
      <c r="F465">
        <f>SUMIFS(Лист2!D:D,Лист2!A:A,A465,Лист2!B:B,B465)</f>
        <v>729</v>
      </c>
      <c r="G465">
        <f>SUMIFS(Лист2!E:E,Лист2!A:A,A465,Лист2!B:B,B465)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>
        <f>SUMIFS(Лист2!C:C,Лист2!A:A,A466,Лист2!B:B,B466)</f>
        <v>15</v>
      </c>
      <c r="F466">
        <f>SUMIFS(Лист2!D:D,Лист2!A:A,A466,Лист2!B:B,B466)</f>
        <v>638</v>
      </c>
      <c r="G466">
        <f>SUMIFS(Лист2!E:E,Лист2!A:A,A466,Лист2!B:B,B466)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>
        <f>SUMIFS(Лист2!C:C,Лист2!A:A,A467,Лист2!B:B,B467)</f>
        <v>15</v>
      </c>
      <c r="F467">
        <f>SUMIFS(Лист2!D:D,Лист2!A:A,A467,Лист2!B:B,B467)</f>
        <v>688</v>
      </c>
      <c r="G467">
        <f>SUMIFS(Лист2!E:E,Лист2!A:A,A467,Лист2!B:B,B467)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>
        <f>SUMIFS(Лист2!C:C,Лист2!A:A,A468,Лист2!B:B,B468)</f>
        <v>20</v>
      </c>
      <c r="F468">
        <f>SUMIFS(Лист2!D:D,Лист2!A:A,A468,Лист2!B:B,B468)</f>
        <v>1873</v>
      </c>
      <c r="G468">
        <f>SUMIFS(Лист2!E:E,Лист2!A:A,A468,Лист2!B:B,B468)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>
        <f>SUMIFS(Лист2!C:C,Лист2!A:A,A469,Лист2!B:B,B469)</f>
        <v>19</v>
      </c>
      <c r="F469">
        <f>SUMIFS(Лист2!D:D,Лист2!A:A,A469,Лист2!B:B,B469)</f>
        <v>1859</v>
      </c>
      <c r="G469">
        <f>SUMIFS(Лист2!E:E,Лист2!A:A,A469,Лист2!B:B,B469)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>
        <f>SUMIFS(Лист2!C:C,Лист2!A:A,A470,Лист2!B:B,B470)</f>
        <v>21</v>
      </c>
      <c r="F470">
        <f>SUMIFS(Лист2!D:D,Лист2!A:A,A470,Лист2!B:B,B470)</f>
        <v>1879</v>
      </c>
      <c r="G470">
        <f>SUMIFS(Лист2!E:E,Лист2!A:A,A470,Лист2!B:B,B470)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>
        <f>SUMIFS(Лист2!C:C,Лист2!A:A,A471,Лист2!B:B,B471)</f>
        <v>19</v>
      </c>
      <c r="F471">
        <f>SUMIFS(Лист2!D:D,Лист2!A:A,A471,Лист2!B:B,B471)</f>
        <v>1527</v>
      </c>
      <c r="G471">
        <f>SUMIFS(Лист2!E:E,Лист2!A:A,A471,Лист2!B:B,B471)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>
        <f>SUMIFS(Лист2!C:C,Лист2!A:A,A472,Лист2!B:B,B472)</f>
        <v>16</v>
      </c>
      <c r="F472">
        <f>SUMIFS(Лист2!D:D,Лист2!A:A,A472,Лист2!B:B,B472)</f>
        <v>981</v>
      </c>
      <c r="G472">
        <f>SUMIFS(Лист2!E:E,Лист2!A:A,A472,Лист2!B:B,B472)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>
        <f>SUMIFS(Лист2!C:C,Лист2!A:A,A473,Лист2!B:B,B473)</f>
        <v>19</v>
      </c>
      <c r="F473">
        <f>SUMIFS(Лист2!D:D,Лист2!A:A,A473,Лист2!B:B,B473)</f>
        <v>1741</v>
      </c>
      <c r="G473">
        <f>SUMIFS(Лист2!E:E,Лист2!A:A,A473,Лист2!B:B,B473)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>
        <f>SUMIFS(Лист2!C:C,Лист2!A:A,A474,Лист2!B:B,B474)</f>
        <v>19</v>
      </c>
      <c r="F474">
        <f>SUMIFS(Лист2!D:D,Лист2!A:A,A474,Лист2!B:B,B474)</f>
        <v>1635</v>
      </c>
      <c r="G474">
        <f>SUMIFS(Лист2!E:E,Лист2!A:A,A474,Лист2!B:B,B474)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>
        <f>SUMIFS(Лист2!C:C,Лист2!A:A,A475,Лист2!B:B,B475)</f>
        <v>19</v>
      </c>
      <c r="F475">
        <f>SUMIFS(Лист2!D:D,Лист2!A:A,A475,Лист2!B:B,B475)</f>
        <v>1780</v>
      </c>
      <c r="G475">
        <f>SUMIFS(Лист2!E:E,Лист2!A:A,A475,Лист2!B:B,B475)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>
        <f>SUMIFS(Лист2!C:C,Лист2!A:A,A476,Лист2!B:B,B476)</f>
        <v>20</v>
      </c>
      <c r="F476">
        <f>SUMIFS(Лист2!D:D,Лист2!A:A,A476,Лист2!B:B,B476)</f>
        <v>2064</v>
      </c>
      <c r="G476">
        <f>SUMIFS(Лист2!E:E,Лист2!A:A,A476,Лист2!B:B,B476)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>
        <f>SUMIFS(Лист2!C:C,Лист2!A:A,A477,Лист2!B:B,B477)</f>
        <v>59</v>
      </c>
      <c r="F477">
        <f>SUMIFS(Лист2!D:D,Лист2!A:A,A477,Лист2!B:B,B477)</f>
        <v>13942</v>
      </c>
      <c r="G477">
        <f>SUMIFS(Лист2!E:E,Лист2!A:A,A477,Лист2!B:B,B477)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>
        <f>SUMIFS(Лист2!C:C,Лист2!A:A,A478,Лист2!B:B,B478)</f>
        <v>60</v>
      </c>
      <c r="F478">
        <f>SUMIFS(Лист2!D:D,Лист2!A:A,A478,Лист2!B:B,B478)</f>
        <v>14050</v>
      </c>
      <c r="G478">
        <f>SUMIFS(Лист2!E:E,Лист2!A:A,A478,Лист2!B:B,B478)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>
        <f>SUMIFS(Лист2!C:C,Лист2!A:A,A479,Лист2!B:B,B479)</f>
        <v>59</v>
      </c>
      <c r="F479">
        <f>SUMIFS(Лист2!D:D,Лист2!A:A,A479,Лист2!B:B,B479)</f>
        <v>12299</v>
      </c>
      <c r="G479">
        <f>SUMIFS(Лист2!E:E,Лист2!A:A,A479,Лист2!B:B,B479)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>
        <f>SUMIFS(Лист2!C:C,Лист2!A:A,A480,Лист2!B:B,B480)</f>
        <v>60</v>
      </c>
      <c r="F480">
        <f>SUMIFS(Лист2!D:D,Лист2!A:A,A480,Лист2!B:B,B480)</f>
        <v>11100</v>
      </c>
      <c r="G480">
        <f>SUMIFS(Лист2!E:E,Лист2!A:A,A480,Лист2!B:B,B480)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>
        <f>SUMIFS(Лист2!C:C,Лист2!A:A,A481,Лист2!B:B,B481)</f>
        <v>60</v>
      </c>
      <c r="F481">
        <f>SUMIFS(Лист2!D:D,Лист2!A:A,A481,Лист2!B:B,B481)</f>
        <v>12460</v>
      </c>
      <c r="G481">
        <f>SUMIFS(Лист2!E:E,Лист2!A:A,A481,Лист2!B:B,B481)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>
        <f>SUMIFS(Лист2!C:C,Лист2!A:A,A482,Лист2!B:B,B482)</f>
        <v>60</v>
      </c>
      <c r="F482">
        <f>SUMIFS(Лист2!D:D,Лист2!A:A,A482,Лист2!B:B,B482)</f>
        <v>11935</v>
      </c>
      <c r="G482">
        <f>SUMIFS(Лист2!E:E,Лист2!A:A,A482,Лист2!B:B,B482)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>
        <f>SUMIFS(Лист2!C:C,Лист2!A:A,A483,Лист2!B:B,B483)</f>
        <v>60</v>
      </c>
      <c r="F483">
        <f>SUMIFS(Лист2!D:D,Лист2!A:A,A483,Лист2!B:B,B483)</f>
        <v>13544</v>
      </c>
      <c r="G483">
        <f>SUMIFS(Лист2!E:E,Лист2!A:A,A483,Лист2!B:B,B483)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>
        <f>SUMIFS(Лист2!C:C,Лист2!A:A,A484,Лист2!B:B,B484)</f>
        <v>54</v>
      </c>
      <c r="F484">
        <f>SUMIFS(Лист2!D:D,Лист2!A:A,A484,Лист2!B:B,B484)</f>
        <v>13091</v>
      </c>
      <c r="G484">
        <f>SUMIFS(Лист2!E:E,Лист2!A:A,A484,Лист2!B:B,B484)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>
        <f>SUMIFS(Лист2!C:C,Лист2!A:A,A485,Лист2!B:B,B485)</f>
        <v>54</v>
      </c>
      <c r="F485">
        <f>SUMIFS(Лист2!D:D,Лист2!A:A,A485,Лист2!B:B,B485)</f>
        <v>13014</v>
      </c>
      <c r="G485">
        <f>SUMIFS(Лист2!E:E,Лист2!A:A,A485,Лист2!B:B,B485)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>
        <f>SUMIFS(Лист2!C:C,Лист2!A:A,A486,Лист2!B:B,B486)</f>
        <v>54</v>
      </c>
      <c r="F486">
        <f>SUMIFS(Лист2!D:D,Лист2!A:A,A486,Лист2!B:B,B486)</f>
        <v>11864</v>
      </c>
      <c r="G486">
        <f>SUMIFS(Лист2!E:E,Лист2!A:A,A486,Лист2!B:B,B486)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>
        <f>SUMIFS(Лист2!C:C,Лист2!A:A,A487,Лист2!B:B,B487)</f>
        <v>54</v>
      </c>
      <c r="F487">
        <f>SUMIFS(Лист2!D:D,Лист2!A:A,A487,Лист2!B:B,B487)</f>
        <v>10570</v>
      </c>
      <c r="G487">
        <f>SUMIFS(Лист2!E:E,Лист2!A:A,A487,Лист2!B:B,B487)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>
        <f>SUMIFS(Лист2!C:C,Лист2!A:A,A488,Лист2!B:B,B488)</f>
        <v>59</v>
      </c>
      <c r="F488">
        <f>SUMIFS(Лист2!D:D,Лист2!A:A,A488,Лист2!B:B,B488)</f>
        <v>14507</v>
      </c>
      <c r="G488">
        <f>SUMIFS(Лист2!E:E,Лист2!A:A,A488,Лист2!B:B,B488)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>
        <f>SUMIFS(Лист2!C:C,Лист2!A:A,A489,Лист2!B:B,B489)</f>
        <v>54</v>
      </c>
      <c r="F489">
        <f>SUMIFS(Лист2!D:D,Лист2!A:A,A489,Лист2!B:B,B489)</f>
        <v>12012</v>
      </c>
      <c r="G489">
        <f>SUMIFS(Лист2!E:E,Лист2!A:A,A489,Лист2!B:B,B489)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>
        <f>SUMIFS(Лист2!C:C,Лист2!A:A,A490,Лист2!B:B,B490)</f>
        <v>54</v>
      </c>
      <c r="F490">
        <f>SUMIFS(Лист2!D:D,Лист2!A:A,A490,Лист2!B:B,B490)</f>
        <v>11194</v>
      </c>
      <c r="G490">
        <f>SUMIFS(Лист2!E:E,Лист2!A:A,A490,Лист2!B:B,B490)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>
        <f>SUMIFS(Лист2!C:C,Лист2!A:A,A491,Лист2!B:B,B491)</f>
        <v>54</v>
      </c>
      <c r="F491">
        <f>SUMIFS(Лист2!D:D,Лист2!A:A,A491,Лист2!B:B,B491)</f>
        <v>12791</v>
      </c>
      <c r="G491">
        <f>SUMIFS(Лист2!E:E,Лист2!A:A,A491,Лист2!B:B,B491)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>
        <f>SUMIFS(Лист2!C:C,Лист2!A:A,A492,Лист2!B:B,B492)</f>
        <v>54</v>
      </c>
      <c r="F492">
        <f>SUMIFS(Лист2!D:D,Лист2!A:A,A492,Лист2!B:B,B492)</f>
        <v>14031</v>
      </c>
      <c r="G492">
        <f>SUMIFS(Лист2!E:E,Лист2!A:A,A492,Лист2!B:B,B492)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>
        <f>SUMIFS(Лист2!C:C,Лист2!A:A,A493,Лист2!B:B,B493)</f>
        <v>7</v>
      </c>
      <c r="F493">
        <f>SUMIFS(Лист2!D:D,Лист2!A:A,A493,Лист2!B:B,B493)</f>
        <v>409</v>
      </c>
      <c r="G493">
        <f>SUMIFS(Лист2!E:E,Лист2!A:A,A493,Лист2!B:B,B493)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>
        <f>SUMIFS(Лист2!C:C,Лист2!A:A,A494,Лист2!B:B,B494)</f>
        <v>18</v>
      </c>
      <c r="F494">
        <f>SUMIFS(Лист2!D:D,Лист2!A:A,A494,Лист2!B:B,B494)</f>
        <v>985</v>
      </c>
      <c r="G494">
        <f>SUMIFS(Лист2!E:E,Лист2!A:A,A494,Лист2!B:B,B494)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>
        <f>SUMIFS(Лист2!C:C,Лист2!A:A,A495,Лист2!B:B,B495)</f>
        <v>9</v>
      </c>
      <c r="F495">
        <f>SUMIFS(Лист2!D:D,Лист2!A:A,A495,Лист2!B:B,B495)</f>
        <v>294</v>
      </c>
      <c r="G495">
        <f>SUMIFS(Лист2!E:E,Лист2!A:A,A495,Лист2!B:B,B495)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>
        <f>SUMIFS(Лист2!C:C,Лист2!A:A,A496,Лист2!B:B,B496)</f>
        <v>15</v>
      </c>
      <c r="F496">
        <f>SUMIFS(Лист2!D:D,Лист2!A:A,A496,Лист2!B:B,B496)</f>
        <v>654</v>
      </c>
      <c r="G496">
        <f>SUMIFS(Лист2!E:E,Лист2!A:A,A496,Лист2!B:B,B496)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>
        <f>SUMIFS(Лист2!C:C,Лист2!A:A,A497,Лист2!B:B,B497)</f>
        <v>16</v>
      </c>
      <c r="F497">
        <f>SUMIFS(Лист2!D:D,Лист2!A:A,A497,Лист2!B:B,B497)</f>
        <v>864</v>
      </c>
      <c r="G497">
        <f>SUMIFS(Лист2!E:E,Лист2!A:A,A497,Лист2!B:B,B497)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>
        <f>SUMIFS(Лист2!C:C,Лист2!A:A,A498,Лист2!B:B,B498)</f>
        <v>16</v>
      </c>
      <c r="F498">
        <f>SUMIFS(Лист2!D:D,Лист2!A:A,A498,Лист2!B:B,B498)</f>
        <v>834</v>
      </c>
      <c r="G498">
        <f>SUMIFS(Лист2!E:E,Лист2!A:A,A498,Лист2!B:B,B498)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>
        <f>SUMIFS(Лист2!C:C,Лист2!A:A,A499,Лист2!B:B,B499)</f>
        <v>16</v>
      </c>
      <c r="F499">
        <f>SUMIFS(Лист2!D:D,Лист2!A:A,A499,Лист2!B:B,B499)</f>
        <v>817</v>
      </c>
      <c r="G499">
        <f>SUMIFS(Лист2!E:E,Лист2!A:A,A499,Лист2!B:B,B499)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>
        <f>SUMIFS(Лист2!C:C,Лист2!A:A,A500,Лист2!B:B,B500)</f>
        <v>18</v>
      </c>
      <c r="F500">
        <f>SUMIFS(Лист2!D:D,Лист2!A:A,A500,Лист2!B:B,B500)</f>
        <v>962</v>
      </c>
      <c r="G500">
        <f>SUMIFS(Лист2!E:E,Лист2!A:A,A500,Лист2!B:B,B500)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>
        <f>SUMIFS(Лист2!C:C,Лист2!A:A,A501,Лист2!B:B,B501)</f>
        <v>6</v>
      </c>
      <c r="F501">
        <f>SUMIFS(Лист2!D:D,Лист2!A:A,A501,Лист2!B:B,B501)</f>
        <v>237</v>
      </c>
      <c r="G501">
        <f>SUMIFS(Лист2!E:E,Лист2!A:A,A501,Лист2!B:B,B501)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>
        <f>SUMIFS(Лист2!C:C,Лист2!A:A,A502,Лист2!B:B,B502)</f>
        <v>7</v>
      </c>
      <c r="F502">
        <f>SUMIFS(Лист2!D:D,Лист2!A:A,A502,Лист2!B:B,B502)</f>
        <v>491</v>
      </c>
      <c r="G502">
        <f>SUMIFS(Лист2!E:E,Лист2!A:A,A502,Лист2!B:B,B502)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>
        <f>SUMIFS(Лист2!C:C,Лист2!A:A,A503,Лист2!B:B,B503)</f>
        <v>7</v>
      </c>
      <c r="F503">
        <f>SUMIFS(Лист2!D:D,Лист2!A:A,A503,Лист2!B:B,B503)</f>
        <v>500</v>
      </c>
      <c r="G503">
        <f>SUMIFS(Лист2!E:E,Лист2!A:A,A503,Лист2!B:B,B503)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>
        <f>SUMIFS(Лист2!C:C,Лист2!A:A,A504,Лист2!B:B,B504)</f>
        <v>18</v>
      </c>
      <c r="F504">
        <f>SUMIFS(Лист2!D:D,Лист2!A:A,A504,Лист2!B:B,B504)</f>
        <v>1014</v>
      </c>
      <c r="G504">
        <f>SUMIFS(Лист2!E:E,Лист2!A:A,A504,Лист2!B:B,B504)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>
        <f>SUMIFS(Лист2!C:C,Лист2!A:A,A505,Лист2!B:B,B505)</f>
        <v>18</v>
      </c>
      <c r="F505">
        <f>SUMIFS(Лист2!D:D,Лист2!A:A,A505,Лист2!B:B,B505)</f>
        <v>923</v>
      </c>
      <c r="G505">
        <f>SUMIFS(Лист2!E:E,Лист2!A:A,A505,Лист2!B:B,B505)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X505" xr:uid="{00000000-0001-0000-00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512" sqref="E512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E505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Сводная</vt:lpstr>
      <vt:lpstr>Сводная график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Julia Pavlenko</cp:lastModifiedBy>
  <dcterms:created xsi:type="dcterms:W3CDTF">2021-09-13T10:17:58Z</dcterms:created>
  <dcterms:modified xsi:type="dcterms:W3CDTF">2026-08-21T12:18:48Z</dcterms:modified>
</cp:coreProperties>
</file>